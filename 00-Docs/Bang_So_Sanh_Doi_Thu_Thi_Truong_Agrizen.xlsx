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_Sanh_Doi_Thu" sheetId="1" r:id="rId4"/>
    <sheet state="visible" name="So_Sanh_Tiet_Kiem_ZAKi_6_Dot" sheetId="2" r:id="rId5"/>
    <sheet state="visible" name="Lich_Phun_6_Dot_Toi_Uu_ZAKi" sheetId="3" r:id="rId6"/>
  </sheets>
  <definedNames/>
  <calcPr/>
  <extLst>
    <ext uri="GoogleSheetsCustomDataVersion2">
      <go:sheetsCustomData xmlns:go="http://customooxmlschemas.google.com/" r:id="rId7" roundtripDataChecksum="JAMbD0dPV+VHv/G4YfiyaFsvyk4NmnmUbgXyWCnVBeY="/>
    </ext>
  </extLst>
</workbook>
</file>

<file path=xl/sharedStrings.xml><?xml version="1.0" encoding="utf-8"?>
<sst xmlns="http://schemas.openxmlformats.org/spreadsheetml/2006/main" count="612" uniqueCount="473">
  <si>
    <t>🌾 BẢNG QUY TRÌNH PHUN CHUẨN MASTER 6 CỬ &amp; PHÂN TÍCH DINH DƯỠNG CHUYÊN SÂU (CÔNG 1.000m²)</t>
  </si>
  <si>
    <t>⚔️ BẢNG TỔNG HỢP SẢN PHẨM RƯỚC ĐÒNG &amp; VÔ GẠO THỊ TRƯỜNG ĐBSCL &amp; CHẠY ADS ONLINE</t>
  </si>
  <si>
    <t>🌾 BẢNG SO SÁNH SÓNG ĐÔI CHI PHÍ CANH TÁC: TRUYỀN THỐNG VS QUY TRÌNH ZAKi 6 CỬ (CÔNG 1.000m²)</t>
  </si>
  <si>
    <t>Phân loại rõ màu sắc 4 nhóm: 🟢 Giải Pháp ZAKi (Xanh Lục) | 📱 Hàng Chạy Ads FB/TikTok/YouTube (Tím Nổi Bật) | 🌐 Tập Đoàn Quốc Tế (Xanh Dương) | 🏭 Công Ty Nội Địa (Xám Slate)</t>
  </si>
  <si>
    <t>Hiển thị minh bạch cả Giá Bán Lẻ &amp; Giá Sỉ Ưu Đãi Combo Mua 3 Cặp Tặng 1 Cặp (1 Lon 1L xài 20 công / 2 Ha)</t>
  </si>
  <si>
    <t>Quy chuẩn 100% theo CÔNG CHUẨN 1.000m² (1 Héc-ta = 10 Công 1.000m²): Tiết kiệm 40-50% Phân Gốc + Tăng 25% Năng Suất + giảm bùng phát đạo ôn đến 50%</t>
  </si>
  <si>
    <t>Tiêu Chí So Sánh</t>
  </si>
  <si>
    <t>Cử Phun &amp; Ngày Tuổi</t>
  </si>
  <si>
    <t>🌾 1. ZAKi RƯỚC ĐÒNG
(Phân Bón Miền Nam / Agrizen)</t>
  </si>
  <si>
    <t>Sản Phẩm &amp; Liều Pha Chuẩn</t>
  </si>
  <si>
    <t>Sinh Lý Lúa &amp; Dinh Dưỡng Cần Thiết</t>
  </si>
  <si>
    <t>🌾 2. ZAKi VÔ GẠO
(Phân Bón Miền Nam / Agrizen)</t>
  </si>
  <si>
    <t>Tình Hình Ruộng &amp; Cảnh Báo Sai Lầm</t>
  </si>
  <si>
    <t>📱 3. Siêu Vô Gạo Gel Kali Đỏ
(Nông Nghiệp Việt Nhật - Ads FB/TikTok)</t>
  </si>
  <si>
    <t>Cơ Chế Nông Học ZAKi &amp; Kết Quả Thu Về (% Năng Suất)</t>
  </si>
  <si>
    <t>📱 4. Siêu Rước Đòng Đòng To Bự
(Phân Bón Nông Phát - Ads YouTube)</t>
  </si>
  <si>
    <t>Giá Bán Lẻ / Cử / Công</t>
  </si>
  <si>
    <t>Giá Mua 3 Tặng 1 / Cử / Công</t>
  </si>
  <si>
    <t>📱 5. Vua Vô Gạo Nạp Tinh Bột
(Hóa Nông ĐBSCL - Ads Đại Lý)</t>
  </si>
  <si>
    <t>Giá Mua 3 Tặng 1 / Héc-ta (10 Công)</t>
  </si>
  <si>
    <t>🌐 6. Amistar Top 325SC
(Syngenta - Thụy Sĩ)</t>
  </si>
  <si>
    <t>🔵 QUY TRÌNH CANH TÁC TRUYỀN THỐNG HÓA HỌC</t>
  </si>
  <si>
    <t>🌐 7. Nativo 750WG
(Bayer - Đức)</t>
  </si>
  <si>
    <t>🌐 8. Tilt Super 300EC
(Syngenta - Thụy Sĩ)</t>
  </si>
  <si>
    <t>🌐 9. Legend 750WG
(FMC / UPL - Mỹ/Ấn Độ)</t>
  </si>
  <si>
    <t>🌐 10. Custodia 320SC
(Adama - Israel)</t>
  </si>
  <si>
    <t>🌐 11. Validacin 5SL
(Sumitomo - Nhật Bản)</t>
  </si>
  <si>
    <t>🌐 12. Biozyme / Saipower
(UPL - Ấn Độ)</t>
  </si>
  <si>
    <t>CỬ 1: ĐẺ NHÁNH
(Nở Bụi)
⏱️ 15 - 30 ngày</t>
  </si>
  <si>
    <t>🌐 13. MKP 0-52-34
(Haifa - Israel)</t>
  </si>
  <si>
    <t>🟢 QUY TRÌNH BỘ BỐN ZAKi ORGANIC 6 CỬ CHUẨN</t>
  </si>
  <si>
    <t>🌐 14. YaraVita Seniphos
(Yara - Na Uy)</t>
  </si>
  <si>
    <t>🌾 ZAKi RƯỚC ĐÒNG
(Lon thiếc 1L - Hữu cơ 100% nhập Mỹ)
• Pha 25-50ml/bình 25L
• Drone: 0.5L / ha (1 lon / 20 công 1.000m²)</t>
  </si>
  <si>
    <t>🏭 15. Đầu Trâu 15-30-15
(Bình Điền)</t>
  </si>
  <si>
    <t>• Sinh lý: Rễ tơ đang ra, đẻ nhánh bộc phát
• Dinh dưỡng: Fulvic 18% &amp; Amino 40% giải độc phèn chua, ngắt ngộ độc rơm rạ mục</t>
  </si>
  <si>
    <t>🌐 16. Atonik 1.8SL
(ADC / Asahi Japan)</t>
  </si>
  <si>
    <t>🏭 17. Comcat 150WP
(Lúa Vàng / Bảo BVTV)</t>
  </si>
  <si>
    <t>• Tình hình: Rễ bó, lá chân vàng phèn
❌ Sai lầm: Rải đạm Ure vô cống làm vống lá, cọng mềm xèo, sâu bệnh đạo ôn tấn công</t>
  </si>
  <si>
    <t>🏭 18. Plastocide 1SL
(Tân Thành)</t>
  </si>
  <si>
    <t>• Cơ chế: Amino &amp; Fulvic ăn qua lá sau 2h
★ Kết quả: Rễ tơ đâm sâu dán chặt đất, đẻ nhánh rộ, nở bụi to đùng, cọng mập ú lá xanh dầy</t>
  </si>
  <si>
    <t>🏭 19. Brio 540SL
(Tập đoàn Lộc Trời)</t>
  </si>
  <si>
    <t>🏭 20. Super Humic 85%
(Nông Dược HAI)</t>
  </si>
  <si>
    <t>🏭 21. Kali Sữa 600
(Lộc Trời / Đồng Xanh)</t>
  </si>
  <si>
    <t>🏭 22. Map Paclo
(An Phát Nông)</t>
  </si>
  <si>
    <t>🟠 MỨC TIẾT KIỆM KHI DÙNG AGRIZEN</t>
  </si>
  <si>
    <t>📱 23. Siêu Vô Gạo 1L
(Lúa Vàng - Ads FB/TikTok)</t>
  </si>
  <si>
    <t>Công Ty Sản Xuất / Phân Phối</t>
  </si>
  <si>
    <t>Phân Bón Miền Nam / Agrizen</t>
  </si>
  <si>
    <t>STT</t>
  </si>
  <si>
    <t>Hạng Mục Vật Tư Truyền Thống</t>
  </si>
  <si>
    <t>Số Lượng</t>
  </si>
  <si>
    <t>Nông Nghiệp Việt Nhật (Chạy Ads Online)</t>
  </si>
  <si>
    <t>Đơn Giá</t>
  </si>
  <si>
    <t>Tiền/Công 1.000m²</t>
  </si>
  <si>
    <t>Tiền/Ha (10 công)</t>
  </si>
  <si>
    <t>Phân Bón Nông Phát (Chạy Ads YouTube)</t>
  </si>
  <si>
    <t>Hóa Nông ĐBSCL (Chạy Ads Tỉnh)</t>
  </si>
  <si>
    <t>Hạng Mục Quy Trình ZAKi 6 Cử Chuẩn</t>
  </si>
  <si>
    <t>Syngenta (Thụy Sĩ)</t>
  </si>
  <si>
    <t>CỬ 2: LÀM ĐÒNG
(Tim Đèn)
⏱️ 30 - 45 ngày</t>
  </si>
  <si>
    <t>Bayer (Đức)</t>
  </si>
  <si>
    <t>• Sinh lý: Nhú tim đèn 1-2mm (phân hóa mầm hoa). Quyết định 40% số hạt
• Dinh dưỡng: Lân dễ tiêu + Bo &amp; Kẽm Chelate + Cytokinin tự nhiên</t>
  </si>
  <si>
    <t>FMC / UPL (Mỹ/Ấn Độ)</t>
  </si>
  <si>
    <t>Adama (Israel)</t>
  </si>
  <si>
    <t>• Tình hình: Rễ bó do rải gốc đợt 1 hết chất
❌ Sai lầm: Bỏ cử dưỡng lá làm đòng ngắn, chỉ có 8-10 gié chính, bông thưa</t>
  </si>
  <si>
    <t>Tiết Kiệm / Công 1.000m²</t>
  </si>
  <si>
    <t>Sumitomo Chemical (Nhật Bản)</t>
  </si>
  <si>
    <t>• Cơ chế: Phân chia tế bào mầm hoa tối đa
★ Kết quả: Tim đèn bộc phát mập ú. TĂNG 35%-40% SỐ GIÉ/BÔNG (từ 8-10 gié lên 12-16 gié phụ), bông dài ngoẵng</t>
  </si>
  <si>
    <t>UPL (Ấn Độ)</t>
  </si>
  <si>
    <t>Tiết Kiệm / Ha (10 công)</t>
  </si>
  <si>
    <t>Haifa Israel / Behn Meyer</t>
  </si>
  <si>
    <t>Yara International (Na Uy)</t>
  </si>
  <si>
    <t>Bình Điền / Phân Bón Đầu Trâu</t>
  </si>
  <si>
    <t>ADC / Asahi Japan</t>
  </si>
  <si>
    <t>GIAI ĐOẠN 1: LÀM ĐẤT, GIỐNG &amp; SẠ (Ngày -5 đến 5)</t>
  </si>
  <si>
    <t>Lúa Vàng / Bảo BVTV</t>
  </si>
  <si>
    <t>Tân Thành</t>
  </si>
  <si>
    <t>Tập đoàn Lộc Trời</t>
  </si>
  <si>
    <t>Nông Dược HAI / VIPED</t>
  </si>
  <si>
    <t>Lộc Trời / Đồng Xanh</t>
  </si>
  <si>
    <t>Map Pacific / An Phát Nông</t>
  </si>
  <si>
    <t>CỬ 3: ÔM BẮP
(Rước Đòng)
⏱️ 45 - 60 ngày</t>
  </si>
  <si>
    <t>Công Ty Lúa Vàng (Chạy Ads FB/TikTok Mua 3 Tặng 1)</t>
  </si>
  <si>
    <t>• Sinh lý: Đòng mập tròn bắp (trước trổ 7-10 ngày), căng mọng nước
• Dinh dưỡng: Bo siêu hòa tan + Canxi &amp; Silicon dẻo cuống bông</t>
  </si>
  <si>
    <t>Thành Phần &amp; Nồng Độ Hóa Sinh</t>
  </si>
  <si>
    <t>• Tình hình: Đòng tròn bắp, dễ thui mầm hạt
❌ Sai lầm: Đưa đạm hóa học làm bẹ lá ủ mềm xèo, dễ vi khuẩn thối bẹ &amp; đạo ôn cổ bông</t>
  </si>
  <si>
    <t>40% Hữu cơ + 18% Axit Fulvic Mỹ + 3% Kali</t>
  </si>
  <si>
    <t>CHÊNH LỆCH</t>
  </si>
  <si>
    <t>• Cơ chế: Dưỡng bắp đòng mọng nước, chống thui nhụy
★ Kết quả: TĂNG 40%-50% SỐ HẠT CHẮC/BÔNG (từ 130 lên 180-220 hạt/bông), trổ đồng loạt không nghẹn</t>
  </si>
  <si>
    <t>Lân lỏng 32.5% + Kali lỏng 23.5% + Kẽm Bo</t>
  </si>
  <si>
    <t>Kali lỏng K2O &gt; 30% + Bo + Hóa chất màu đỏ</t>
  </si>
  <si>
    <t>Amino Acid + Bo + Cytokinin kích đòng</t>
  </si>
  <si>
    <t>Kali Nitrat (KNO_3) + Kẽm Chelate</t>
  </si>
  <si>
    <t>Azoxystrobin (200g/L) + Difenoconazole (125g/L)</t>
  </si>
  <si>
    <t>Trifloxystrobin (250g/kg) + Tebuconazole (500g/kg)</t>
  </si>
  <si>
    <t>Propiconazole (300g/L)</t>
  </si>
  <si>
    <t>Công cày, xới, trục, san phẳng mặt ruộng (1.000m²)</t>
  </si>
  <si>
    <t>Tricyclazole + Sulfur 750g/kg</t>
  </si>
  <si>
    <t>Azoxystrobin (120g/L) + Tebuconazole (200g/L)</t>
  </si>
  <si>
    <t>1 công</t>
  </si>
  <si>
    <t>Validamycin A 5%</t>
  </si>
  <si>
    <t>350.000 đ</t>
  </si>
  <si>
    <t>Chiết xuất tảo biển sinh học + Vi lượng Chelate</t>
  </si>
  <si>
    <t>CỬ 4: TRỔ SẸT
(Lẹt Đẹt)
⏱️ 60 - 70 ngày</t>
  </si>
  <si>
    <t>Lân hữu hiệu (P2O5) 52% + Kali (K2O) 34%</t>
  </si>
  <si>
    <t>🌾 ZAKi VÔ GẠO
(Lon thiếc 1L - Gel Kali Hữu Cơ + Bo)
• Pha 25-50ml/bình 25L
• Drone: 0.5L / ha (1 lon / 20 công 1.000m²)</t>
  </si>
  <si>
    <t>Lân lỏng dễ tiêu 23.6% + Canxi 3%</t>
  </si>
  <si>
    <t>• Sinh lý: Bông nhú bẹ bao 5-10% lẹt đẹt
• Dinh dưỡng: Lân Dễ Tiêu (cấp ATP trổ lẹ) + Kali Lỏng + Bo bôi trơn bẹ bao</t>
  </si>
  <si>
    <t>NPK 15-30-15 + Vi lượng TE</t>
  </si>
  <si>
    <t>• Tình hình: Bông nhú lẹt đẹt 5-10%
❌ Sai lầm: Phun thuốc hóa học dạng nhũ dầu (EC) nóng làm cháy chóp lá đòng &amp; cháy nhụy lúa</t>
  </si>
  <si>
    <t>Sodium Nitrophenolate 1.8%</t>
  </si>
  <si>
    <t>• Cơ chế: Dạng Gel sữa Hữu cơ mát cây 100%
★ Kết quả: Lúa trổ thoát nhanh 100%, trổ rộ đồng loạt toàn ruộng, xanh tươi 3 lá đòng</t>
  </si>
  <si>
    <t>Chiết xuất sinh học Lychnis viscaria 15%</t>
  </si>
  <si>
    <t>Kháng sinh sinh học kích kháng lúa</t>
  </si>
  <si>
    <t>Thuốc điều hòa sinh trưởng bón lá</t>
  </si>
  <si>
    <t>Potassium Humate 85% tinh khiết</t>
  </si>
  <si>
    <t>Kali hữu hiệu (K2O) &gt; 30% dạng Gel/Sữa</t>
  </si>
  <si>
    <t>Paclobutrazol 250g/L</t>
  </si>
  <si>
    <t>NPK bón lá vô gạo + Bo + Kẽm + Chất nạp tinh bột</t>
  </si>
  <si>
    <t>Quy Cách Đóng Gói &amp; Xuất Xứ</t>
  </si>
  <si>
    <t>Lon thiếc 1L nhập Mỹ</t>
  </si>
  <si>
    <t>Lon thiếc 1L lỏng Gel Sữa</t>
  </si>
  <si>
    <t>Chai nhựa 500ml</t>
  </si>
  <si>
    <t>CỬ 5: TRỔ ĐỀU
(Vô Sữa)
⏱️ 70 - 80 ngày</t>
  </si>
  <si>
    <t>• Sinh lý: Lúa trổ xòe đều 90-100%, rụng nhụy thụ phấn xong, ngửa bụng vô sữa
• Dinh dưỡng: Kali Hữu Cơ + Bo + Magie giữ xanh 3 lá đòng</t>
  </si>
  <si>
    <t>Chai nhựa 250ml</t>
  </si>
  <si>
    <t>• Tình hình: Lúa trổ xòe đều khắp ruộng
❌ Sai lầm: Để lá đòng vàng rụi do nấm bệnh khiến hạt sát cổ bông không có tinh bột -&gt; Lép cậy</t>
  </si>
  <si>
    <t>Gói cốm 6g</t>
  </si>
  <si>
    <t>• Cơ chế: Dồn dịch sữa nén xối xả vào phôi hạt
★ Kết quả: Giữ xanh bền 3 lá đòng, ép dịch sữa lấp đầy hạt sát cổ bông (chắc cậy 100%)</t>
  </si>
  <si>
    <t>Chai nhựa 100ml</t>
  </si>
  <si>
    <t>Gói bột 20g</t>
  </si>
  <si>
    <t>Chai nhựa 450ml</t>
  </si>
  <si>
    <t>Gói/Bao 1kg tinh thể</t>
  </si>
  <si>
    <t>Hũ/Gói 500g</t>
  </si>
  <si>
    <t>Gói nilon 10ml</t>
  </si>
  <si>
    <t>Gói bột 7.5g</t>
  </si>
  <si>
    <t>CỬ 6: CONG TRÁI ME
(Đỏ Đuôi)
⏱️ 80 ngày -&gt; Gặt</t>
  </si>
  <si>
    <t>Gói/Hũ 1kg</t>
  </si>
  <si>
    <t>Chai 1 Lít (Pha 2000L nước / xài 15-20 công)</t>
  </si>
  <si>
    <t>Lúa giống OM18/Đài Thơm 8 (sạ 15kg/công 1.000m²)</t>
  </si>
  <si>
    <t>Giá Bán Niêm Yết / Đơn Vị</t>
  </si>
  <si>
    <t>15 kg</t>
  </si>
  <si>
    <t>• Sinh lý: Bông lúa quằn hình trái me, nén tinh bột gạo, trấu chín vàng
• Dinh dưỡng: Kali Hữu Cơ + Kẽm &amp; Silicon cô đặc tinh bột gạo</t>
  </si>
  <si>
    <t>18.000 đ</t>
  </si>
  <si>
    <t>469.000 đ / lon 1L</t>
  </si>
  <si>
    <t>• Tình hình: Bông nặng quằn xuống trái me
❌ Sai lầm: Lạm dụng phân vô cơ ngưng muộn làm lúa xanh vỏ đỏ lòng, chất gạo xốp, phơi ngót kg</t>
  </si>
  <si>
    <t>• Cơ chế: Cô đặc tinh bột gạo, khép vỏ trấu
★ Kết quả: Hạt gạo no tròn mẩy. TĂNG 20%-25% NĂNG SUẤT, ĐẠT 950-1.000 KG LÚA TƯƠI / CÔNG 1.000m² (9.5-10 TẤN/HA)</t>
  </si>
  <si>
    <t>525.000 đ / lon 1L</t>
  </si>
  <si>
    <t>150.000 đ - 180.000 đ / chai 500ml (hoặc bộ 3 chai 360k)</t>
  </si>
  <si>
    <t>160.000 đ - 190.000 đ / chai 500ml</t>
  </si>
  <si>
    <t>140.000 đ - 160.000 đ / chai 500ml</t>
  </si>
  <si>
    <t>280.000 đ - 350.000 đ / chai</t>
  </si>
  <si>
    <t>25.000 đ - 34.000 đ / gói</t>
  </si>
  <si>
    <t>115.000 đ - 135.000 đ / chai</t>
  </si>
  <si>
    <t>35.000 đ - 45.000 đ / gói</t>
  </si>
  <si>
    <t>220.000 đ - 270.000 đ / chai</t>
  </si>
  <si>
    <t>70.000 đ - 95.000 đ / chai</t>
  </si>
  <si>
    <t>120.000 đ - 160.000 đ / chai</t>
  </si>
  <si>
    <t>85.000 đ - 120.000 đ / kg</t>
  </si>
  <si>
    <t>TỔNG CHI PHÍ DINH DƯỠNG ZAKi 6 CỬ TRỌN VỤ / CÔNG 1.000m²</t>
  </si>
  <si>
    <t>125.000 đ - 155.000 đ / chai 500ml</t>
  </si>
  <si>
    <t>45.000 đ - 65.000 đ / 500g</t>
  </si>
  <si>
    <t>9.000 đ - 14.000 đ / gói</t>
  </si>
  <si>
    <t>Thuốc ngâm ủ giống (Cruiser/Regent)</t>
  </si>
  <si>
    <t>12.500 đ - 25.000 đ / gói</t>
  </si>
  <si>
    <t>1 phần</t>
  </si>
  <si>
    <t>85.000 đ - 110.000 đ / chai</t>
  </si>
  <si>
    <t>15.000 đ</t>
  </si>
  <si>
    <t>110.000 đ - 145.000 đ / kg</t>
  </si>
  <si>
    <t>60.000 đ - 90.000 đ / chai</t>
  </si>
  <si>
    <t>95.000 đ - 125.000 đ / chai</t>
  </si>
  <si>
    <t>450.000 đ / chai 1L (Mua 1 chai Freeship)
• Mua 3 Tặng 1: 1.300.000 đ (4 chai)
• Mua 5 Tặng 2: 2.240.000 đ (7 chai)</t>
  </si>
  <si>
    <t>Diện Tích Phun / Đơn Vị</t>
  </si>
  <si>
    <t>20 công 1.000m² / lon (2 Ha)</t>
  </si>
  <si>
    <t>5 - 6 công 1.000m² / chai 500ml</t>
  </si>
  <si>
    <t>4 - 5 công / chai</t>
  </si>
  <si>
    <t>1 công / 2 gói (12g)</t>
  </si>
  <si>
    <t>3 - 3.5 công / chai</t>
  </si>
  <si>
    <t>2 - 3 công / gói</t>
  </si>
  <si>
    <t>5 - 6 công / chai</t>
  </si>
  <si>
    <t>8 - 10 công / chai</t>
  </si>
  <si>
    <t>3 - 4 công / kg</t>
  </si>
  <si>
    <t>Thuốc diệt ốc bươu vàng</t>
  </si>
  <si>
    <t>10 công / chai</t>
  </si>
  <si>
    <t>1 gói</t>
  </si>
  <si>
    <t>35.000 đ</t>
  </si>
  <si>
    <t>1 công / 2-3 gói</t>
  </si>
  <si>
    <t>1 công / 2 gói (15g)</t>
  </si>
  <si>
    <t>5 công / chai</t>
  </si>
  <si>
    <t>8 - 10 công / kg</t>
  </si>
  <si>
    <t>15 - 20 công 1.000m² / chai 1L (1.5 - 2 Ha)</t>
  </si>
  <si>
    <t>Chi Phí Bán Lẻ / Cử / Công (1.000m²)</t>
  </si>
  <si>
    <t>23.450 đ / công 1.000m²</t>
  </si>
  <si>
    <t>26.250 đ / công 1.000m²</t>
  </si>
  <si>
    <t>25.000 đ - 36.000 đ / công 1.000m²</t>
  </si>
  <si>
    <t>26.600 đ - 38.000 đ / công 1.000m²</t>
  </si>
  <si>
    <t>23.300 đ - 32.000 đ / công 1.000m²</t>
  </si>
  <si>
    <t>40.000 đ - 55.000 đ / công</t>
  </si>
  <si>
    <t>50.000 đ - 68.000 đ / công</t>
  </si>
  <si>
    <t>Thuốc trừ cỏ tiền nẩy mầm (Sofit)</t>
  </si>
  <si>
    <t>35.000 đ - 40.000 đ / công</t>
  </si>
  <si>
    <t>1 chai</t>
  </si>
  <si>
    <t>30.000 đ - 40.000 đ / công</t>
  </si>
  <si>
    <t>38.000 đ</t>
  </si>
  <si>
    <t>35.000 đ - 45.000 đ / công</t>
  </si>
  <si>
    <t>14.000 đ - 18.000 đ / công</t>
  </si>
  <si>
    <t>15.000 đ - 18.000 đ / công</t>
  </si>
  <si>
    <t>25.000 đ - 35.000 đ / công</t>
  </si>
  <si>
    <t>12.500 đ - 15.500 đ / công 1.000m²</t>
  </si>
  <si>
    <t>20.000 đ - 25.000 đ / công</t>
  </si>
  <si>
    <t>20.000 đ - 30.000 đ / công</t>
  </si>
  <si>
    <t>25.000 đ - 50.000 đ / công</t>
  </si>
  <si>
    <t>18.000 đ - 22.000 đ / công</t>
  </si>
  <si>
    <t>12.000 đ - 15.000 đ / công</t>
  </si>
  <si>
    <t>10.000 đ - 15.000 đ / công</t>
  </si>
  <si>
    <t>22.500 đ - 30.000 đ / công 1.000m²</t>
  </si>
  <si>
    <t>Chi Phí Ưu Đãi Mua 3 Tặng 1 / Công</t>
  </si>
  <si>
    <t>16.840 đ / công (Mua 3 Tặng 1)</t>
  </si>
  <si>
    <t>18.850 đ / công (Mua 3 Tặng 1)</t>
  </si>
  <si>
    <t>24.000 đ / công (khi mua bộ 3 chai 360k)</t>
  </si>
  <si>
    <t>Tiểu tổng GIAI ĐOẠN 1</t>
  </si>
  <si>
    <t>Không có khuyến mãi tặng chai</t>
  </si>
  <si>
    <t>Không có chương trình sỉ</t>
  </si>
  <si>
    <t>Không có gói sỉ</t>
  </si>
  <si>
    <t>Không có sỉ</t>
  </si>
  <si>
    <t>Không có quà</t>
  </si>
  <si>
    <t>Không áp dụng sỉ</t>
  </si>
  <si>
    <t>Không áp dụng</t>
  </si>
  <si>
    <t>Không có tặng</t>
  </si>
  <si>
    <t>16.250 đ - 21.667 đ / công (Mua 3 Tặng 1)</t>
  </si>
  <si>
    <t>Tổng Chi Phí Cả Vụ / Héc-Ta (10 công)</t>
  </si>
  <si>
    <t>1.010.400 đ / Ha (3 cử sỉ)</t>
  </si>
  <si>
    <t>1.131.000 đ / Ha (3 cử sỉ)</t>
  </si>
  <si>
    <t>1.440.000 đ - 1.800.000 đ / Ha (6 cử)</t>
  </si>
  <si>
    <t>1.596.000 đ - 1.896.000 đ / Ha (6 cử)</t>
  </si>
  <si>
    <t>1.398.000 đ - 1.596.000 đ / Ha (6 cử)</t>
  </si>
  <si>
    <t>2.400.000 đ - 3.300.000 đ / Ha</t>
  </si>
  <si>
    <t>3.000.000 đ - 4.080.000 đ / Ha</t>
  </si>
  <si>
    <t>2.100.000 đ - 2.400.000 đ / Ha</t>
  </si>
  <si>
    <t>1.800.000 đ - 2.400.000 đ / Ha</t>
  </si>
  <si>
    <t>GIAI ĐOẠN 2: CỬ 1 - ĐẺ NHÁNH / NỞ BỤI (Ngày 15 - 30)</t>
  </si>
  <si>
    <t>2.100.000 đ - 2.700.000 đ / Ha</t>
  </si>
  <si>
    <t>840.000 đ - 1.080.000 đ / Ha</t>
  </si>
  <si>
    <t>900.000 đ - 1.080.000 đ / Ha</t>
  </si>
  <si>
    <t>1.500.000 đ - 2.100.000 đ / Ha</t>
  </si>
  <si>
    <t>750.000 đ - 930.000 đ / Ha (6 cử)</t>
  </si>
  <si>
    <t>1.200.000 đ - 1.500.000 đ / Ha</t>
  </si>
  <si>
    <t>1.200.000 đ - 1.800.000 đ / Ha</t>
  </si>
  <si>
    <t>1.500.000 đ - 3.000.000 đ / Ha</t>
  </si>
  <si>
    <t>1.080.000 đ - 1.320.000 đ / Ha</t>
  </si>
  <si>
    <t>720.000 đ - 900.000 đ / Ha</t>
  </si>
  <si>
    <t>600.000 đ - 900.000 đ / Ha</t>
  </si>
  <si>
    <t>975.000 đ - 1.300.000 đ / Ha (6 cử sỉ)</t>
  </si>
  <si>
    <t>Phân bón gốc Đợt 1: DAP (5kg) + Ure (5kg)</t>
  </si>
  <si>
    <t>10 kg</t>
  </si>
  <si>
    <t>Cơ Chế Hóa Sinh &amp; Tác Động</t>
  </si>
  <si>
    <t>15.500 đ</t>
  </si>
  <si>
    <t>Axit Fulvic gắp vi lượng, giải độc phèn chua, ngắt ngộ độc rơm rạ mục</t>
  </si>
  <si>
    <t>Lân &amp; Kali lỏng hữu hiệu nén dịch sữa tinh bột siêu tốc vào phôi hạt</t>
  </si>
  <si>
    <t>Kali vô cơ nồng độ cao thúc chín ép hạt lúa</t>
  </si>
  <si>
    <t>Chất kích thích đè mầm hoa trổ bộc phát</t>
  </si>
  <si>
    <t>Nạp Nitrat Kali cho lá lúa ép tinh bột</t>
  </si>
  <si>
    <t>Trị nấm phổ rộng, giữ lá đòng xanh bền ('Stay Green')</t>
  </si>
  <si>
    <t>Nấm bệnh bị chặn đứng, hạt lúa vô gạo chắc mẩy</t>
  </si>
  <si>
    <t>Làm cứng vách tế bào lá đòng, đứng lá, sáng hạt</t>
  </si>
  <si>
    <t>Diệt nấm đạo ôn lá &amp; đạo ôn cổ bông bộc phát</t>
  </si>
  <si>
    <t>Bộ đôi hoạt chất trừ bệnh &amp; bảo vệ lá đòng</t>
  </si>
  <si>
    <t>Giảm 40% Phân gốc Đợt 1 (nhờ Axit Fulvic 18% bung rễ tơ)</t>
  </si>
  <si>
    <t>Kháng sinh sinh học diệt nấm đốm vằn khô vằn</t>
  </si>
  <si>
    <t>6 kg</t>
  </si>
  <si>
    <t>Kích thích sinh học chống sốc nhiệt/mặn cho lúa</t>
  </si>
  <si>
    <t>Muối khoáng vô cơ cấp Lân &amp; Kali nồng độ cực cao</t>
  </si>
  <si>
    <t>Cung cấp Canxi &amp; Lân lỏng bám dính dày lá</t>
  </si>
  <si>
    <t>Bổ sung Đa lượng NPK hòa tan rải lá/rễ</t>
  </si>
  <si>
    <t>Kích thích sinh trưởng tế bào bộc phát thần tốc</t>
  </si>
  <si>
    <t>Kích kháng sinh học lúa tự chống nghẹn đòng</t>
  </si>
  <si>
    <t>Kích hoạt hệ miễn dịch cây lúa tự tiết Enzyme chống nấm</t>
  </si>
  <si>
    <t>Kích thích mầm hoa đòng trong chuỗi ruộng mẫu Lộc Trời</t>
  </si>
  <si>
    <t>Axit Humic kích thích hệ rễ tơ đâm sâu</t>
  </si>
  <si>
    <t>Kali lỏng nén dịch sữa vào hạt lúa chín đỏ đuôi</t>
  </si>
  <si>
    <t>Ức chế Gibberellin khống chế chiều cao thân lúa</t>
  </si>
  <si>
    <t>Nạp tinh bột ép lúa vô gạo nhanh, chín vàng trấu</t>
  </si>
  <si>
    <t xml:space="preserve">Ưu Điểm </t>
  </si>
  <si>
    <t>Bung rễ tơ dán chặt đất, đòng mập ú, lá đòng dầy khỏe, mát 100%</t>
  </si>
  <si>
    <t>Chắc cậy sát gốc 100%, trấu vàng sáng óng, nặng kg, không cháy chóp lá đòng</t>
  </si>
  <si>
    <t>Giá rẻ, màu da cam đẹp mắt thu hút online</t>
  </si>
  <si>
    <t>Kích đòng trổ thoát nhanh khi dính mưa dầm</t>
  </si>
  <si>
    <t>Thuốc cỏ hậu nẩy mầm + Kích rễ ngoại đắt tiền</t>
  </si>
  <si>
    <t>Giá bình dân, dễ mua tại đại lý tỉnh</t>
  </si>
  <si>
    <t>1 cử</t>
  </si>
  <si>
    <t>65.000 đ</t>
  </si>
  <si>
    <t>Xanh lá đòng, hạt lúa vàng sáng mẩy, ít lem lép</t>
  </si>
  <si>
    <t>Đặc trị lem lép hạt &amp; đạo ôn cổ bông cực nhạy</t>
  </si>
  <si>
    <t>Cứng cây, đứng lá, vàng sáng trấu, ngừa vàng lá chín sớm</t>
  </si>
  <si>
    <t>Trị đạo ôn cực nhanh, sạch giàn lá chân</t>
  </si>
  <si>
    <t>Giữ lá đòng xanh mướt, hạt lúa vàng sáng</t>
  </si>
  <si>
    <t>🌾 CỬ 1: ZAKi RƯỚC ĐÒNG (23.450đ) + Thuốc cỏ (30.000đ)</t>
  </si>
  <si>
    <t>Sạch bệnh đốm vằn êm chân lúa, giá bình dân</t>
  </si>
  <si>
    <t>An toàn sinh học, lúa vượt stress thời tiết rét/mặn</t>
  </si>
  <si>
    <t>53.450 đ</t>
  </si>
  <si>
    <t>Giá rẻ, giúp cứng cây chống đổ ngã giông lốc</t>
  </si>
  <si>
    <t>Cứng lá đòng, vỏ trấu dầy chống nứt nẻ hạt</t>
  </si>
  <si>
    <t>Thương hiệu quen thuộc, giá bình dân</t>
  </si>
  <si>
    <t>Lúa trổ thoát rộ đồng loạt khi dính mưa dầm/rét</t>
  </si>
  <si>
    <t>An toàn sinh học, chống nghẹn đòng lúa hiệu quả</t>
  </si>
  <si>
    <t>Giúp dày vách tế bào, lá đứng mướt, ít tốn tiền thuốc sâu</t>
  </si>
  <si>
    <t>Giúp đòng to mập, lúa trổ thoát rộ</t>
  </si>
  <si>
    <t>Hạ phèn kích rễ tốt, giá rẻ</t>
  </si>
  <si>
    <t>Vô gạo nhanh, hạt nặng kg, màu trấu sáng</t>
  </si>
  <si>
    <t>Cứng lóng, mập lóng, chống sập ngã lúa 100% mùa mưa giông</t>
  </si>
  <si>
    <t>Dung tích 1L lớn, có chương trình Mua 3 Tặng 1 &amp; thẻ cào trúng thưởng</t>
  </si>
  <si>
    <t>Nhược Điểm &amp; Rủi Ro Cần Lưu Ý</t>
  </si>
  <si>
    <t>Công rải phân &amp; xịt thuốc Đợt 1 (1.000m²)</t>
  </si>
  <si>
    <t>Cần phun đủ quy trình 6 cử</t>
  </si>
  <si>
    <t>Nên phối hợp ZAKi Rước Đòng ở cử đòng trước</t>
  </si>
  <si>
    <t>55.000 đ</t>
  </si>
  <si>
    <t>Dễ mua nhầm hàng nhái kém chất lượng, chín ép làm sụm mặt lúa</t>
  </si>
  <si>
    <t>Thiếu Axit Fulvic Mỹ &amp; Lân hữu hiệu tinh khiết</t>
  </si>
  <si>
    <t>Đạm Nitrat dư thừa dễ gây lem lép hạt nếu gặp mưa</t>
  </si>
  <si>
    <t>Giá thành rất đắt đỏ, phun nhiều cử làm giảm lời ròng</t>
  </si>
  <si>
    <t>Dạng cốm WG dễ đọng cặn nếu không khuấy kỹ, chi phí rất đắt</t>
  </si>
  <si>
    <t>Thuốc EC nóng, phun quá liều dễ cháy chóp lá đòng &amp; sượng lúa</t>
  </si>
  <si>
    <t>Không cung cấp dinh dưỡng NPK nuôi đòng</t>
  </si>
  <si>
    <t>Giá thành cao hơn phân bón dưỡng lúa thông thường</t>
  </si>
  <si>
    <t>Không bổ sung dinh dưỡng NPK/hữu cơ vô gạo</t>
  </si>
  <si>
    <t>Hàm lượng Lân &amp; Kali thấp hơn ZAKi Vô Gạo</t>
  </si>
  <si>
    <t>Muối vô cơ mặn, dễ xót rễ phèn &amp; cháy chóp lá đòng khi nắng</t>
  </si>
  <si>
    <t>Không chứa Kali nên tốc độ ép tinh bột vô gạo chậm hơn ZAKi</t>
  </si>
  <si>
    <t>Đạm hóa học cao dễ kích sâu bệnh nếu xịt dư cử</t>
  </si>
  <si>
    <t>Không chứa dinh dưỡng NPK, lạm dụng làm kiệt lúa</t>
  </si>
  <si>
    <t>Tiểu tổng GIAI ĐOẠN 2</t>
  </si>
  <si>
    <t>Giá thành khá đắt, không cung cấp dinh dưỡng NPK</t>
  </si>
  <si>
    <t>Cần phối hợp thêm phân bón lá Kali/Lân khi vô gạo</t>
  </si>
  <si>
    <t>Cần đi kèm bộ thuốc trừ bệnh của Lộc Trời</t>
  </si>
  <si>
    <t>Chỉ có Humic thiếu Axit Fulvic và vi lượng Chelate dán lá</t>
  </si>
  <si>
    <t>Nhiều hàng nhái kém chất lượng trôi nổi trên thị trường</t>
  </si>
  <si>
    <t>Nếu xịt quá liều gây lùn lúa, sượng lúa, nghẹn đòng</t>
  </si>
  <si>
    <t>❌ Thuốc vô cơ lỏng thương mại chạy Ads online, thiếu 18% Axit Fulvic Mỹ giải phèn &amp; không chứa 40% hữu cơ như ZAKi</t>
  </si>
  <si>
    <t>⚔️ BẢNG DỮ LIỆU ĐỐI SOÁT CHUYÊN SÂU ƯU &amp; NHƯỢC ĐIỂM CHI TIẾT SO VỚI ZAKi</t>
  </si>
  <si>
    <t>Ưu Điểm Nổi Bật</t>
  </si>
  <si>
    <t>⭐ Bung rễ tơ dán chặt đất, đòng mập ú, lá đòng dầy khỏe, mát lúa 100%</t>
  </si>
  <si>
    <t>⭐ Chắc cậy sát gốc 100%, trấu vàng sáng óng, nặng kg, không cháy lá đòng</t>
  </si>
  <si>
    <t>Mẫu mã da cam/đỏ thu hút online, giá chai 500ml nhìn qua tưởng rẻ (~95k-120k/chai)</t>
  </si>
  <si>
    <t>Kích thích đòng trổ bộc phát nhanh khi bị mưa dầm/rét</t>
  </si>
  <si>
    <t>Giá bình dân, dễ mua tại đại lý tỉnh ĐBSCL</t>
  </si>
  <si>
    <t>Hiệu ứng Stay Green giữ xanh lá đòng, trị nấm lem lép hạt phổ rộng</t>
  </si>
  <si>
    <t>Đặc trị lem lép hạt &amp; đạo ôn cổ bông xuất sắc, hạt nặng mẩy</t>
  </si>
  <si>
    <t>Cứng cây, đứng lá đòng, sáng hạt, ngừa vàng lá chín sớm</t>
  </si>
  <si>
    <t>Diệt nấm đạo ôn lá &amp; đạo ôn cổ bông bộc phát cực nhanh</t>
  </si>
  <si>
    <t>Bộ đôi hoạt chất trừ bệnh &amp; giữ xanh lá đòng</t>
  </si>
  <si>
    <t>GIAI ĐOẠN 3: CỬ 2 - LÀM ĐÒNG / TIM ĐÈN 1-2mm (Ngày 30 - 45)</t>
  </si>
  <si>
    <t>Kháng sinh sinh học sạch bệnh đốm vằn êm chân lúa, giá bình dân</t>
  </si>
  <si>
    <t>An toàn sinh học chiết xuất tảo biển, lúa vượt stress thời tiết</t>
  </si>
  <si>
    <t>Phân muối thô giá rẻ, giúp cứng cây chống đổ ngã giông lốc</t>
  </si>
  <si>
    <t>Cứng lá đòng, vỏ trấu dầy chống nứt nẻ hạt nhờ Canxi &amp; Lân lỏng</t>
  </si>
  <si>
    <t>Thương hiệu quen thuộc, bổ sung NPK đa lượng hòa tan</t>
  </si>
  <si>
    <t>Kích thích đòng bộc phát, trổ thoát rộ khi mưa dầm/rét</t>
  </si>
  <si>
    <t>An toàn sinh học chiết xuất Lychnis, chống nghẹn đòng lúa</t>
  </si>
  <si>
    <t>Dầy vách tế bào, lúa tự tiết chất kháng bệnh, lá đứng mướt</t>
  </si>
  <si>
    <t>Kích đòng mập bắp, lúa trổ thoát rộ trong chuỗi ruộng mẫu</t>
  </si>
  <si>
    <t>Hạ phèn kích rễ tơ tốt, giá rẻ</t>
  </si>
  <si>
    <t>Vô gạo nhanh, hạt nặng kg, màu trấu vàng sáng</t>
  </si>
  <si>
    <t>Cứng lóng, mập lóng, khống chế chiều cao chống sập ngã 100%</t>
  </si>
  <si>
    <t>Chai 1L lớn, có gói Mua 3 Tặng 1 (1.3tr/4 chai = 325k/chai) + Tặng thẻ cào trúng thưởng</t>
  </si>
  <si>
    <t>Nhược Điểm So Với ZAKi</t>
  </si>
  <si>
    <t>✅ Hữu cơ 100% an toàn tuyệt đối, cần phun đủ cử đòng đợt 1-3</t>
  </si>
  <si>
    <t>✅ Lân &amp; Kali lỏng tinh khiết, nên phối hợp cử rước đòng trước đó</t>
  </si>
  <si>
    <t>❌ Rủi ro hàng nhái kém chất lượng cao, Kali vô cơ thô ép lúa chín vỏ đỏ lòng làm lúa sụm mặt ngót kg</t>
  </si>
  <si>
    <t>❌ Thiếu 18% Axit Fulvic Mỹ giải phèn chua Fe2+, Al3+ và nghẹt rễ rơm rạ mục</t>
  </si>
  <si>
    <t>Phân bón gốc Đợt 2: DAP (7kg) + Ure (5kg) + Kali (3kg)</t>
  </si>
  <si>
    <t>❌ Đạm Nitrat (KNO3) dư thừa dễ gây lem lép hạt nếu gặp mưa dầm</t>
  </si>
  <si>
    <t>❌ Chi phí quá đắt (40k-55k/công), không chứa NPK/Hữu cơ nuôi hạt dạn kg</t>
  </si>
  <si>
    <t>15.200 đ</t>
  </si>
  <si>
    <t>❌ Chi phí cực kỳ đắt (50k-68k/công), dạng cốm WG dễ đọng cặn béc xịt</t>
  </si>
  <si>
    <t>❌ Thuốc EC nóng, phun dư liều dễ cháy chóp lá đòng &amp; sượng lúa</t>
  </si>
  <si>
    <t>❌ Không chứa dinh dưỡng NPK/Hữu cơ nuôi đòng mập</t>
  </si>
  <si>
    <t>❌ Chi phí cao (35k-45k/công), không có hữu cơ kích rễ</t>
  </si>
  <si>
    <t>❌ Không cung cấp dinh dưỡng NPK/Hữu cơ vô gạo</t>
  </si>
  <si>
    <t>❌ Hàm lượng Lân &amp; Kali lỏng thấp hơn ZAKi Vô Gạo</t>
  </si>
  <si>
    <t>❌ Phản ứng mặn cao, dễ cháy chóp lá đòng khi nắng &amp; xót rễ phèn</t>
  </si>
  <si>
    <t>❌ Không chứa Kali nên tốc độ ép tinh bột vô gạo chậm hơn ZAKi</t>
  </si>
  <si>
    <t>Giảm 40% Phân gốc Đợt 2 (nhờ Amino 40% Mỹ thúc chồi mập)</t>
  </si>
  <si>
    <t>9 kg</t>
  </si>
  <si>
    <t>❌ Đạm thô cao dễ vọt lá, kích sâu bệnh nếu xịt dư cử</t>
  </si>
  <si>
    <t>❌ Không chứa NPK/Hữu cơ, lạm dụng khiến lúa kiệt sức suy cây</t>
  </si>
  <si>
    <t>❌ Chi phí khá đắt cho dòng kích thích, không chứa NPK</t>
  </si>
  <si>
    <t>❌ Cần phối hợp thêm phân bón lá Kali/Lân khi vô gạo</t>
  </si>
  <si>
    <t>❌ Cần đi kèm bộ thuốc trừ bệnh của Lộc Trời</t>
  </si>
  <si>
    <t>❌ Chỉ có Humic thô, thiếu Axit Fulvic 18% Mỹ &amp; vi lượng Chelate dán lá</t>
  </si>
  <si>
    <t>❌ Nhiều hàng nhái trôi nổi kém chất lượng trên thị trường</t>
  </si>
  <si>
    <t>❌ Phun quá liều gây lùn lúa, sượng lúa, nghẹn đòng</t>
  </si>
  <si>
    <t>❌ Phân vô cơ lỏng chạy Ads online, thiếu 18% Axit Fulvic Mỹ giải phèn &amp; 40% Hữu cơ sinh học bung rễ tơ</t>
  </si>
  <si>
    <t>Hiệu Quả Kinh Tế So Với ZAKi</t>
  </si>
  <si>
    <t>🏆 1 đồng vốn đẻ 7-10 đồng lời (+24.59tr/Ha), giá sỉ 16.840đ/công (Mua 3 Tặng 1)</t>
  </si>
  <si>
    <t>🏆 1 đồng vốn đẻ 7-10 đồng lời (+24.59tr/Ha), giá sỉ 18.850đ/công (Mua 3 Tặng 1)</t>
  </si>
  <si>
    <t>⚠️ Chi phí ~11k-14k/công nhưng không có gói Mua 3 Tặng 1</t>
  </si>
  <si>
    <t>⚠️ Chi phí ~12k-15k/công, không có chính sách sỉ nhỏ</t>
  </si>
  <si>
    <t>⚠️ Chi phí ~10k-13k/công, không có quà tặng kèm</t>
  </si>
  <si>
    <t>❌ Chi phí 2.4tr-3.3tr/Ha làm giảm trực tiếp lợi nhuận ròng</t>
  </si>
  <si>
    <t>❌ Chi phí 3.0tr-4.08tr/Ha làm giảm lời ròng của nông dân</t>
  </si>
  <si>
    <t>Thuốc sâu rầy đợt 1 + Phân bón lá nở bụi hóa học</t>
  </si>
  <si>
    <t>⚠️ Chi phí 35k-40k/công, tốn tiền mua nhiều cử</t>
  </si>
  <si>
    <t>⚠️ Chi phí 30k-40k/công cho 1 cử trị bệnh</t>
  </si>
  <si>
    <t>⚠️ Chi phí 2.1tr-2.7tr/Ha</t>
  </si>
  <si>
    <t>85.000 đ</t>
  </si>
  <si>
    <t>⚠️ Chi phí 14k-18k/công</t>
  </si>
  <si>
    <t>⚠️ Chi phí 15k-18k/công</t>
  </si>
  <si>
    <t>⚠️ Chi phí 25k-35k/công, rủi ro cháy lá giảm năng suất</t>
  </si>
  <si>
    <t>⚠️ Chi phí 17k-19k/công</t>
  </si>
  <si>
    <t>⚠️ Chi phí 20k-25k/công</t>
  </si>
  <si>
    <t>🌾 CỬ 2: ZAKi RƯỚC ĐÒNG (23.450đ) + Thuốc sâu (50.000đ)</t>
  </si>
  <si>
    <t>⚠️ Chi phí 20k-30k/công</t>
  </si>
  <si>
    <t>⚠️ Chi phí 25k-50k/công</t>
  </si>
  <si>
    <t>73.450 đ</t>
  </si>
  <si>
    <t>⚠️ Chi phí 18k-22k/công</t>
  </si>
  <si>
    <t>⚠️ Chi phí 12k-15k/công</t>
  </si>
  <si>
    <t>⚠️ Chi phí 10k-15k/công</t>
  </si>
  <si>
    <t>⚠️ Chi phí ~16.2k-22.5k/công, r</t>
  </si>
  <si>
    <t>Công rải phân &amp; xịt thuốc Đợt 2 (1.000m²)</t>
  </si>
  <si>
    <t>Tiểu tổng GIAI ĐOẠN 3</t>
  </si>
  <si>
    <t>GIAI ĐOẠN 4: CỬ 3 - ÔM BẮP / RƯỚC ĐÒNG (Ngày 45 - 60)</t>
  </si>
  <si>
    <t>Phân bón gốc Đợt 3: NPK 20-20-15 (5kg) + Ure + Kali</t>
  </si>
  <si>
    <t>13 kg</t>
  </si>
  <si>
    <t>14.600 đ</t>
  </si>
  <si>
    <t>Giảm 50% Phân gốc Đợt 3 (nhờ Axit Fulvic Mỹ giúp hấp thụ 95%)</t>
  </si>
  <si>
    <t>6.5 kg</t>
  </si>
  <si>
    <t>Thuốc sương mai + Phân bón lá tích đòng hóa học (10-60-10)</t>
  </si>
  <si>
    <t>75.000 đ</t>
  </si>
  <si>
    <t>🌾 CỬ 3: ZAKi RƯỚC ĐÒNG (23.450đ) + Thuốc sương mai (20.000đ - giảm 50% nhờ lúa kháng bệnh)</t>
  </si>
  <si>
    <t>43.450 đ</t>
  </si>
  <si>
    <t>Công rải phân &amp; xịt thuốc Đợt 3 (1.000m²)</t>
  </si>
  <si>
    <t>Tiểu tổng GIAI ĐOẠN 4</t>
  </si>
  <si>
    <t>GIAI ĐOẠN 5: CỬ 4 - TRỔ SẸT / LẸT ĐẸT (Ngày 60 - 70)</t>
  </si>
  <si>
    <t>Thuốc đạo ôn + Dưỡng đòng Kali Sữa/MKP ngoại đắt tiền</t>
  </si>
  <si>
    <t>120.000 đ</t>
  </si>
  <si>
    <t>🌾 CỬ 4: ZAKi VÔ GẠO (26.250đ) + Thuốc đạo ôn (25.000đ - giảm 50% nhờ lúa kháng bệnh)</t>
  </si>
  <si>
    <t>51.250 đ</t>
  </si>
  <si>
    <t>Công xịt thuốc Cử 4 (Drone / 1.000m²)</t>
  </si>
  <si>
    <t>20.000 đ</t>
  </si>
  <si>
    <t>Tiểu tổng GIAI ĐOẠN 5</t>
  </si>
  <si>
    <t>GIAI ĐOẠN 6: CỬ 5 - TRỔ ĐỀU / VÔ SỮA (Ngày 70 - 80)</t>
  </si>
  <si>
    <t>Thuốc lem lép (Amistar Top) + Thuốc dưỡng hạt ngoại đợt 1</t>
  </si>
  <si>
    <t>150.000 đ</t>
  </si>
  <si>
    <t>🌾 CỬ 5: ZAKi VÔ GẠO (26.250đ) + Thuốc lem lép (30.000đ - giảm 50% nhờ lúa kháng bệnh)</t>
  </si>
  <si>
    <t>56.250 đ</t>
  </si>
  <si>
    <t>Công xịt thuốc Cử 5 (Drone / 1.000m²)</t>
  </si>
  <si>
    <t>Tiểu tổng GIAI ĐOẠN 6</t>
  </si>
  <si>
    <t>GIAI ĐOẠN 7: CỬ 6 - CONG TRÁI ME / ĐỎ ĐUÔI (Ngày 80 đến Gặt)</t>
  </si>
  <si>
    <t>Thuốc lem lép đợt 2 + Kali Sữa/MKP xịt vô gạo nặng cử</t>
  </si>
  <si>
    <t>140.000 đ</t>
  </si>
  <si>
    <t>🌾 CỬ 6: ZAKi VÔ GẠO (26.250đ) + Thuốc BVTV (20.000đ - giảm 50% nhờ lúa kháng bệnh)</t>
  </si>
  <si>
    <t>46.250 đ</t>
  </si>
  <si>
    <t>Công xịt thuốc Cử 6 (Drone / 1.000m²)</t>
  </si>
  <si>
    <t>Tiểu tổng GIAI ĐOẠN 7</t>
  </si>
  <si>
    <t>GIAI ĐOẠN 8: BƠM NƯỚC, THU HOẠCH &amp; CHI PHÍ KHÁC (Cả Vụ / 1.000m²)</t>
  </si>
  <si>
    <t>Bơm nước tưới tiêu cả vụ (1.000m²)</t>
  </si>
  <si>
    <t>Cả vụ</t>
  </si>
  <si>
    <t>Thuê máy gặt đập liên hợp (1.000m²)</t>
  </si>
  <si>
    <t>370.000 đ</t>
  </si>
  <si>
    <t>Công thăm ruộng &amp; chi phí phát sinh</t>
  </si>
  <si>
    <t>100.000 đ</t>
  </si>
  <si>
    <t>Tiểu tổng GIAI ĐOẠN 8</t>
  </si>
  <si>
    <t>TỔNG CHI PHÍ CANH TÁC HÓA HỌC TRUYỀN THỐNG</t>
  </si>
  <si>
    <t>TỔNG CHI PHÍ CANH TÁC QUY TRÌNH BỘ BỐN ZAKi 6 CỬ CHUẨN</t>
  </si>
  <si>
    <t>💰 TỔNG HỢP TIẾT KIỆM 40-50% PHÂN GỐC &amp; GIẢM 50% THUỐC ĐẠO ÔN NẤM BỆNH + NĂNG SUẤT ĐẠT 1.000 KG / CÔNG (1.000m²)</t>
  </si>
  <si>
    <t>1. Tiền tiết kiệm trực tiếp phân gốc (40-50%) + giảm 50% thuốc đạo ôn nấm bệnh / Ha (10 công 1.000m²)</t>
  </si>
  <si>
    <t>Tiết kiệm 40% phân đợt 1-2 &amp; 50% phân đợt 3 + Giảm 50% thuốc đạo ôn lá, đạo ôn cổ bông, lem lép hạt nhờ lúa khỏe</t>
  </si>
  <si>
    <t>2. Tiền lúa thu thêm nhờ TĂNG 25% NĂNG SUẤT (+200kg lúa tươi / công 1.000m²)</t>
  </si>
  <si>
    <t>200kg/công 1.000m² x 10 công x 8.300đ/kg lúa dạn kg chắc cậy sát gốc</t>
  </si>
  <si>
    <t>3. Tiền thưởng giá lúa thương lái mua thêm (+300đ/kg)</t>
  </si>
  <si>
    <t>8.000kg x 300đ/kg (nhờ trấu vàng sáng óng, không lem lép, thương lái khoái mua)</t>
  </si>
  <si>
    <t>🏆 TỔNG THU NHẬP GIA TĂNG THỰC TẾ CHO NÔNG DÂN / HÉC-TA (10 CÔNG 1.000m²)</t>
  </si>
  <si>
    <t>LỢI NHUẬN RÒNG ĐỘT PHÁ CẢ VỤ CỦA NÔNG HỘ TÍNH TRÊN 1 HÉC-TA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</si>
</sst>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 &quot;đ&quot;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1E3A8A"/>
      <name val="Calibri"/>
    </font>
    <font>
      <b/>
      <sz val="15.0"/>
      <color rgb="FF1F497D"/>
      <name val="Calibri"/>
    </font>
    <font>
      <i/>
      <sz val="11.0"/>
      <color rgb="FF475569"/>
      <name val="Calibri"/>
    </font>
    <font>
      <i/>
      <sz val="11.0"/>
      <color rgb="FF595959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/>
    <font>
      <sz val="10.0"/>
      <color rgb="FF000000"/>
      <name val="Calibri"/>
    </font>
    <font>
      <b/>
      <sz val="10.0"/>
      <color rgb="FF375623"/>
      <name val="Calibri"/>
    </font>
    <font>
      <b/>
      <sz val="10.0"/>
      <color rgb="FFFFFFFF"/>
      <name val="Quattrocento Sans"/>
    </font>
    <font>
      <b/>
      <sz val="10.0"/>
      <color rgb="FF0F172A"/>
      <name val="Calibri"/>
    </font>
    <font>
      <b/>
      <sz val="10.0"/>
      <color rgb="FF065F46"/>
      <name val="Calibri"/>
    </font>
    <font>
      <b/>
      <sz val="10.0"/>
      <color rgb="FF581C87"/>
      <name val="Calibri"/>
    </font>
    <font>
      <sz val="10.0"/>
      <color rgb="FF0F172A"/>
      <name val="Calibri"/>
    </font>
    <font>
      <b/>
      <sz val="10.0"/>
      <color rgb="FF581C87"/>
      <name val="Quattrocento Sans"/>
    </font>
    <font>
      <b/>
      <sz val="10.0"/>
      <color rgb="FFC65911"/>
      <name val="Calibri"/>
    </font>
    <font>
      <b/>
      <sz val="11.0"/>
      <color rgb="FFC00000"/>
      <name val="Calibri"/>
    </font>
    <font>
      <sz val="10.0"/>
      <color rgb="FF0F172A"/>
      <name val="Quattrocento Sans"/>
    </font>
    <font>
      <b/>
      <sz val="10.0"/>
      <color rgb="FF991B1B"/>
      <name val="Calibri"/>
    </font>
    <font>
      <b/>
      <sz val="10.0"/>
      <color rgb="FF000000"/>
      <name val="Calibri"/>
    </font>
    <font>
      <b/>
      <sz val="10.0"/>
      <color rgb="FF991B1B"/>
      <name val="Quattrocento Sans"/>
    </font>
    <font>
      <b/>
      <sz val="11.0"/>
      <color rgb="FFFFFFFF"/>
      <name val="Quattrocento Sans"/>
    </font>
    <font>
      <b/>
      <sz val="10.0"/>
      <color rgb="FF0F172A"/>
      <name val="Quattrocento Sans"/>
    </font>
    <font>
      <b/>
      <sz val="10.0"/>
      <color rgb="FF065F46"/>
      <name val="Quattrocento Sans"/>
    </font>
    <font>
      <sz val="10.0"/>
      <color theme="1"/>
      <name val="Quattrocento Sans"/>
    </font>
    <font>
      <sz val="10.0"/>
      <color theme="1"/>
      <name val="Calibri"/>
    </font>
    <font>
      <b/>
      <sz val="12.0"/>
      <color rgb="FFFFFFFF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1F497D"/>
        <bgColor rgb="FF1F497D"/>
      </patternFill>
    </fill>
    <fill>
      <patternFill patternType="solid">
        <fgColor rgb="FF065F46"/>
        <bgColor rgb="FF065F46"/>
      </patternFill>
    </fill>
    <fill>
      <patternFill patternType="solid">
        <fgColor rgb="FF6B21A8"/>
        <bgColor rgb="FF6B21A8"/>
      </patternFill>
    </fill>
    <fill>
      <patternFill patternType="solid">
        <fgColor rgb="FF1E40AF"/>
        <bgColor rgb="FF1E40AF"/>
      </patternFill>
    </fill>
    <fill>
      <patternFill patternType="solid">
        <fgColor rgb="FFE2EFDA"/>
        <bgColor rgb="FFE2EFDA"/>
      </patternFill>
    </fill>
    <fill>
      <patternFill patternType="solid">
        <fgColor rgb="FF334155"/>
        <bgColor rgb="FF334155"/>
      </patternFill>
    </fill>
    <fill>
      <patternFill patternType="solid">
        <fgColor rgb="FF375623"/>
        <bgColor rgb="FF375623"/>
      </patternFill>
    </fill>
    <fill>
      <patternFill patternType="solid">
        <fgColor rgb="FFC65911"/>
        <bgColor rgb="FFC65911"/>
      </patternFill>
    </fill>
    <fill>
      <patternFill patternType="solid">
        <fgColor rgb="FFECFDF5"/>
        <bgColor rgb="FFECFDF5"/>
      </patternFill>
    </fill>
    <fill>
      <patternFill patternType="solid">
        <fgColor rgb="FFF3E8FF"/>
        <bgColor rgb="FFF3E8FF"/>
      </patternFill>
    </fill>
    <fill>
      <patternFill patternType="solid">
        <fgColor rgb="FFFFFFFF"/>
        <bgColor rgb="FFFFFFFF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F8FAFC"/>
        <bgColor rgb="FFF8FAFC"/>
      </patternFill>
    </fill>
    <fill>
      <patternFill patternType="solid">
        <fgColor rgb="FFFCE4D6"/>
        <bgColor rgb="FFFCE4D6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E9D5FF"/>
        <bgColor rgb="FFE9D5FF"/>
      </patternFill>
    </fill>
    <fill>
      <patternFill patternType="solid">
        <fgColor rgb="FFFDE9D9"/>
        <bgColor rgb="FFFDE9D9"/>
      </patternFill>
    </fill>
    <fill>
      <patternFill patternType="solid">
        <fgColor rgb="FFFEF2F2"/>
        <bgColor rgb="FFFEF2F2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B4C6E7"/>
        <bgColor rgb="FFB4C6E7"/>
      </patternFill>
    </fill>
    <fill>
      <patternFill patternType="solid">
        <fgColor rgb="FFA9D08E"/>
        <bgColor rgb="FFA9D08E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3" fillId="3" fontId="7" numFmtId="0" xfId="0" applyAlignment="1" applyBorder="1" applyFont="1">
      <alignment horizontal="center" vertical="center"/>
    </xf>
    <xf borderId="4" fillId="0" fontId="8" numFmtId="0" xfId="0" applyBorder="1" applyFont="1"/>
    <xf borderId="5" fillId="0" fontId="8" numFmtId="0" xfId="0" applyBorder="1" applyFont="1"/>
    <xf borderId="2" fillId="0" fontId="9" numFmtId="0" xfId="0" applyAlignment="1" applyBorder="1" applyFont="1">
      <alignment horizontal="center" shrinkToFit="0" vertical="center" wrapText="1"/>
    </xf>
    <xf borderId="2" fillId="7" fontId="10" numFmtId="0" xfId="0" applyAlignment="1" applyBorder="1" applyFill="1" applyFont="1">
      <alignment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shrinkToFit="0" vertical="center" wrapText="1"/>
    </xf>
    <xf borderId="3" fillId="9" fontId="7" numFmtId="0" xfId="0" applyAlignment="1" applyBorder="1" applyFill="1" applyFont="1">
      <alignment horizontal="center" vertical="center"/>
    </xf>
    <xf borderId="2" fillId="0" fontId="9" numFmtId="164" xfId="0" applyAlignment="1" applyBorder="1" applyFont="1" applyNumberFormat="1">
      <alignment horizontal="right" vertical="center"/>
    </xf>
    <xf borderId="2" fillId="0" fontId="10" numFmtId="164" xfId="0" applyAlignment="1" applyBorder="1" applyFont="1" applyNumberFormat="1">
      <alignment horizontal="right" vertical="center"/>
    </xf>
    <xf borderId="3" fillId="10" fontId="7" numFmtId="0" xfId="0" applyAlignment="1" applyBorder="1" applyFill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11" fontId="13" numFmtId="0" xfId="0" applyAlignment="1" applyBorder="1" applyFill="1" applyFont="1">
      <alignment shrinkToFit="0" vertical="top" wrapText="1"/>
    </xf>
    <xf borderId="1" fillId="12" fontId="14" numFmtId="0" xfId="0" applyAlignment="1" applyBorder="1" applyFill="1" applyFont="1">
      <alignment shrinkToFit="0" vertical="top" wrapText="1"/>
    </xf>
    <xf borderId="2" fillId="9" fontId="6" numFmtId="0" xfId="0" applyAlignment="1" applyBorder="1" applyFont="1">
      <alignment horizontal="center" shrinkToFit="0" vertical="center" wrapText="1"/>
    </xf>
    <xf borderId="1" fillId="13" fontId="15" numFmtId="0" xfId="0" applyAlignment="1" applyBorder="1" applyFill="1" applyFont="1">
      <alignment shrinkToFit="0" vertical="top" wrapText="1"/>
    </xf>
    <xf borderId="2" fillId="10" fontId="6" numFmtId="0" xfId="0" applyAlignment="1" applyBorder="1" applyFont="1">
      <alignment horizontal="center" shrinkToFit="0" vertical="center" wrapText="1"/>
    </xf>
    <xf borderId="3" fillId="14" fontId="6" numFmtId="0" xfId="0" applyAlignment="1" applyBorder="1" applyFill="1" applyFont="1">
      <alignment vertical="center"/>
    </xf>
    <xf borderId="3" fillId="15" fontId="6" numFmtId="0" xfId="0" applyAlignment="1" applyBorder="1" applyFill="1" applyFont="1">
      <alignment vertical="center"/>
    </xf>
    <xf borderId="1" fillId="12" fontId="16" numFmtId="0" xfId="0" applyAlignment="1" applyBorder="1" applyFont="1">
      <alignment shrinkToFit="0" vertical="top" wrapText="1"/>
    </xf>
    <xf borderId="3" fillId="10" fontId="6" numFmtId="0" xfId="0" applyAlignment="1" applyBorder="1" applyFont="1">
      <alignment horizontal="center" vertical="center"/>
    </xf>
    <xf borderId="1" fillId="16" fontId="15" numFmtId="0" xfId="0" applyAlignment="1" applyBorder="1" applyFill="1" applyFont="1">
      <alignment shrinkToFit="0" vertical="top" wrapText="1"/>
    </xf>
    <xf borderId="2" fillId="0" fontId="9" numFmtId="0" xfId="0" applyAlignment="1" applyBorder="1" applyFont="1">
      <alignment horizontal="center"/>
    </xf>
    <xf borderId="2" fillId="0" fontId="9" numFmtId="0" xfId="0" applyBorder="1" applyFont="1"/>
    <xf borderId="2" fillId="0" fontId="9" numFmtId="0" xfId="0" applyAlignment="1" applyBorder="1" applyFont="1">
      <alignment horizontal="right"/>
    </xf>
    <xf borderId="2" fillId="0" fontId="9" numFmtId="164" xfId="0" applyBorder="1" applyFont="1" applyNumberFormat="1"/>
    <xf borderId="2" fillId="7" fontId="9" numFmtId="0" xfId="0" applyAlignment="1" applyBorder="1" applyFont="1">
      <alignment horizontal="center"/>
    </xf>
    <xf borderId="2" fillId="7" fontId="9" numFmtId="0" xfId="0" applyBorder="1" applyFont="1"/>
    <xf borderId="2" fillId="7" fontId="9" numFmtId="0" xfId="0" applyAlignment="1" applyBorder="1" applyFont="1">
      <alignment horizontal="right"/>
    </xf>
    <xf borderId="2" fillId="7" fontId="9" numFmtId="164" xfId="0" applyBorder="1" applyFont="1" applyNumberFormat="1"/>
    <xf borderId="2" fillId="17" fontId="17" numFmtId="164" xfId="0" applyBorder="1" applyFill="1" applyFont="1" applyNumberFormat="1"/>
    <xf borderId="1" fillId="18" fontId="12" numFmtId="0" xfId="0" applyAlignment="1" applyBorder="1" applyFill="1" applyFont="1">
      <alignment shrinkToFit="0" vertical="center" wrapText="1"/>
    </xf>
    <xf borderId="1" fillId="19" fontId="13" numFmtId="0" xfId="0" applyAlignment="1" applyBorder="1" applyFill="1" applyFont="1">
      <alignment shrinkToFit="0" vertical="top" wrapText="1"/>
    </xf>
    <xf borderId="1" fillId="20" fontId="16" numFmtId="0" xfId="0" applyAlignment="1" applyBorder="1" applyFill="1" applyFont="1">
      <alignment shrinkToFit="0" vertical="top" wrapText="1"/>
    </xf>
    <xf borderId="2" fillId="21" fontId="1" numFmtId="0" xfId="0" applyBorder="1" applyFill="1" applyFont="1"/>
    <xf borderId="2" fillId="21" fontId="18" numFmtId="0" xfId="0" applyBorder="1" applyFont="1"/>
    <xf borderId="1" fillId="16" fontId="19" numFmtId="0" xfId="0" applyAlignment="1" applyBorder="1" applyFont="1">
      <alignment shrinkToFit="0" vertical="top" wrapText="1"/>
    </xf>
    <xf borderId="2" fillId="21" fontId="18" numFmtId="164" xfId="0" applyBorder="1" applyFont="1" applyNumberFormat="1"/>
    <xf borderId="1" fillId="22" fontId="20" numFmtId="0" xfId="0" applyAlignment="1" applyBorder="1" applyFill="1" applyFont="1">
      <alignment shrinkToFit="0" vertical="top" wrapText="1"/>
    </xf>
    <xf borderId="1" fillId="22" fontId="19" numFmtId="0" xfId="0" applyAlignment="1" applyBorder="1" applyFont="1">
      <alignment shrinkToFit="0" vertical="top" wrapText="1"/>
    </xf>
    <xf borderId="2" fillId="23" fontId="21" numFmtId="0" xfId="0" applyBorder="1" applyFill="1" applyFont="1"/>
    <xf borderId="2" fillId="23" fontId="21" numFmtId="164" xfId="0" applyBorder="1" applyFont="1" applyNumberFormat="1"/>
    <xf borderId="2" fillId="24" fontId="10" numFmtId="0" xfId="0" applyBorder="1" applyFill="1" applyFont="1"/>
    <xf borderId="2" fillId="24" fontId="10" numFmtId="164" xfId="0" applyBorder="1" applyFont="1" applyNumberFormat="1"/>
    <xf borderId="2" fillId="25" fontId="17" numFmtId="164" xfId="0" applyBorder="1" applyFill="1" applyFont="1" applyNumberFormat="1"/>
    <xf borderId="2" fillId="7" fontId="10" numFmtId="0" xfId="0" applyAlignment="1" applyBorder="1" applyFont="1">
      <alignment horizontal="center"/>
    </xf>
    <xf borderId="2" fillId="7" fontId="10" numFmtId="0" xfId="0" applyBorder="1" applyFont="1"/>
    <xf borderId="2" fillId="7" fontId="10" numFmtId="0" xfId="0" applyAlignment="1" applyBorder="1" applyFont="1">
      <alignment horizontal="right"/>
    </xf>
    <xf borderId="2" fillId="7" fontId="10" numFmtId="164" xfId="0" applyBorder="1" applyFont="1" applyNumberFormat="1"/>
    <xf borderId="1" fillId="22" fontId="22" numFmtId="0" xfId="0" applyAlignment="1" applyBorder="1" applyFont="1">
      <alignment shrinkToFit="0" vertical="top" wrapText="1"/>
    </xf>
    <xf borderId="0" fillId="2" fontId="23" numFmtId="0" xfId="0" applyAlignment="1" applyFont="1">
      <alignment horizontal="center" vertical="center"/>
    </xf>
    <xf borderId="1" fillId="18" fontId="24" numFmtId="0" xfId="0" applyAlignment="1" applyBorder="1" applyFont="1">
      <alignment shrinkToFit="0" vertical="center" wrapText="1"/>
    </xf>
    <xf borderId="1" fillId="11" fontId="25" numFmtId="0" xfId="0" applyAlignment="1" applyBorder="1" applyFont="1">
      <alignment shrinkToFit="0" vertical="top" wrapText="1"/>
    </xf>
    <xf borderId="1" fillId="13" fontId="19" numFmtId="0" xfId="0" applyAlignment="1" applyBorder="1" applyFont="1">
      <alignment shrinkToFit="0" vertical="top" wrapText="1"/>
    </xf>
    <xf borderId="1" fillId="19" fontId="25" numFmtId="0" xfId="0" applyAlignment="1" applyBorder="1" applyFont="1">
      <alignment shrinkToFit="0" vertical="top" wrapText="1"/>
    </xf>
    <xf borderId="1" fillId="12" fontId="16" numFmtId="0" xfId="0" applyAlignment="1" applyBorder="1" applyFont="1">
      <alignment readingOrder="0" shrinkToFit="0" vertical="top" wrapText="1"/>
    </xf>
    <xf borderId="0" fillId="0" fontId="26" numFmtId="0" xfId="0" applyAlignment="1" applyFont="1">
      <alignment shrinkToFit="0" vertical="top" wrapText="1"/>
    </xf>
    <xf borderId="0" fillId="0" fontId="26" numFmtId="0" xfId="0" applyFont="1"/>
    <xf borderId="0" fillId="0" fontId="27" numFmtId="0" xfId="0" applyAlignment="1" applyFont="1">
      <alignment shrinkToFit="0" vertical="top" wrapText="1"/>
    </xf>
    <xf borderId="1" fillId="16" fontId="12" numFmtId="0" xfId="0" applyAlignment="1" applyBorder="1" applyFont="1">
      <alignment shrinkToFit="0" vertical="top" wrapText="1"/>
    </xf>
    <xf borderId="1" fillId="13" fontId="12" numFmtId="0" xfId="0" applyAlignment="1" applyBorder="1" applyFont="1">
      <alignment shrinkToFit="0" vertical="top" wrapText="1"/>
    </xf>
    <xf borderId="2" fillId="26" fontId="21" numFmtId="0" xfId="0" applyBorder="1" applyFill="1" applyFont="1"/>
    <xf borderId="2" fillId="26" fontId="21" numFmtId="164" xfId="0" applyBorder="1" applyFont="1" applyNumberFormat="1"/>
    <xf borderId="2" fillId="27" fontId="10" numFmtId="0" xfId="0" applyBorder="1" applyFill="1" applyFont="1"/>
    <xf borderId="2" fillId="27" fontId="10" numFmtId="164" xfId="0" applyBorder="1" applyFont="1" applyNumberFormat="1"/>
    <xf borderId="2" fillId="10" fontId="7" numFmtId="164" xfId="0" applyBorder="1" applyFont="1" applyNumberFormat="1"/>
    <xf borderId="3" fillId="9" fontId="28" numFmtId="0" xfId="0" applyAlignment="1" applyBorder="1" applyFont="1">
      <alignment horizontal="center" vertical="center"/>
    </xf>
    <xf borderId="6" fillId="0" fontId="21" numFmtId="0" xfId="0" applyBorder="1" applyFont="1"/>
    <xf borderId="7" fillId="0" fontId="8" numFmtId="0" xfId="0" applyBorder="1" applyFont="1"/>
    <xf borderId="8" fillId="0" fontId="8" numFmtId="0" xfId="0" applyBorder="1" applyFont="1"/>
    <xf borderId="2" fillId="0" fontId="1" numFmtId="0" xfId="0" applyBorder="1" applyFont="1"/>
    <xf borderId="6" fillId="0" fontId="9" numFmtId="0" xfId="0" applyBorder="1" applyFont="1"/>
    <xf borderId="6" fillId="27" fontId="18" numFmtId="0" xfId="0" applyBorder="1" applyFont="1"/>
    <xf borderId="2" fillId="27" fontId="18" numFmtId="164" xfId="0" applyAlignment="1" applyBorder="1" applyFont="1" applyNumberFormat="1">
      <alignment horizontal="right" vertical="center"/>
    </xf>
    <xf borderId="2" fillId="27" fontId="1" numFmtId="0" xfId="0" applyBorder="1" applyFont="1"/>
    <xf borderId="6" fillId="27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1.14"/>
    <col customWidth="1" min="2" max="3" width="32.0"/>
    <col customWidth="1" min="4" max="23" width="15.0"/>
    <col customWidth="1" min="24" max="24" width="20.57"/>
  </cols>
  <sheetData>
    <row r="1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6" t="s">
        <v>6</v>
      </c>
      <c r="B4" s="8" t="s">
        <v>8</v>
      </c>
      <c r="C4" s="8" t="s">
        <v>11</v>
      </c>
      <c r="D4" s="9" t="s">
        <v>13</v>
      </c>
      <c r="E4" s="9" t="s">
        <v>15</v>
      </c>
      <c r="F4" s="9" t="s">
        <v>18</v>
      </c>
      <c r="G4" s="10" t="s">
        <v>20</v>
      </c>
      <c r="H4" s="10" t="s">
        <v>22</v>
      </c>
      <c r="I4" s="10" t="s">
        <v>23</v>
      </c>
      <c r="J4" s="10" t="s">
        <v>24</v>
      </c>
      <c r="K4" s="10" t="s">
        <v>25</v>
      </c>
      <c r="L4" s="10" t="s">
        <v>26</v>
      </c>
      <c r="M4" s="10" t="s">
        <v>27</v>
      </c>
      <c r="N4" s="10" t="s">
        <v>29</v>
      </c>
      <c r="O4" s="10" t="s">
        <v>31</v>
      </c>
      <c r="P4" s="16" t="s">
        <v>33</v>
      </c>
      <c r="Q4" s="10" t="s">
        <v>35</v>
      </c>
      <c r="R4" s="16" t="s">
        <v>36</v>
      </c>
      <c r="S4" s="16" t="s">
        <v>38</v>
      </c>
      <c r="T4" s="16" t="s">
        <v>40</v>
      </c>
      <c r="U4" s="16" t="s">
        <v>41</v>
      </c>
      <c r="V4" s="16" t="s">
        <v>42</v>
      </c>
      <c r="W4" s="16" t="s">
        <v>43</v>
      </c>
      <c r="X4" s="22" t="s">
        <v>45</v>
      </c>
    </row>
    <row r="5" ht="67.5" customHeight="1">
      <c r="A5" s="23" t="s">
        <v>46</v>
      </c>
      <c r="B5" s="24" t="s">
        <v>47</v>
      </c>
      <c r="C5" s="24" t="s">
        <v>47</v>
      </c>
      <c r="D5" s="25" t="s">
        <v>51</v>
      </c>
      <c r="E5" s="25" t="s">
        <v>55</v>
      </c>
      <c r="F5" s="25" t="s">
        <v>56</v>
      </c>
      <c r="G5" s="27" t="s">
        <v>58</v>
      </c>
      <c r="H5" s="27" t="s">
        <v>60</v>
      </c>
      <c r="I5" s="27" t="s">
        <v>58</v>
      </c>
      <c r="J5" s="27" t="s">
        <v>62</v>
      </c>
      <c r="K5" s="27" t="s">
        <v>63</v>
      </c>
      <c r="L5" s="27" t="s">
        <v>66</v>
      </c>
      <c r="M5" s="27" t="s">
        <v>68</v>
      </c>
      <c r="N5" s="27" t="s">
        <v>70</v>
      </c>
      <c r="O5" s="27" t="s">
        <v>71</v>
      </c>
      <c r="P5" s="27" t="s">
        <v>72</v>
      </c>
      <c r="Q5" s="27" t="s">
        <v>73</v>
      </c>
      <c r="R5" s="27" t="s">
        <v>75</v>
      </c>
      <c r="S5" s="27" t="s">
        <v>76</v>
      </c>
      <c r="T5" s="27" t="s">
        <v>77</v>
      </c>
      <c r="U5" s="27" t="s">
        <v>78</v>
      </c>
      <c r="V5" s="27" t="s">
        <v>79</v>
      </c>
      <c r="W5" s="27" t="s">
        <v>80</v>
      </c>
      <c r="X5" s="31" t="s">
        <v>82</v>
      </c>
    </row>
    <row r="6" ht="67.5" customHeight="1">
      <c r="A6" s="23" t="s">
        <v>84</v>
      </c>
      <c r="B6" s="24" t="s">
        <v>86</v>
      </c>
      <c r="C6" s="24" t="s">
        <v>89</v>
      </c>
      <c r="D6" s="25" t="s">
        <v>90</v>
      </c>
      <c r="E6" s="25" t="s">
        <v>91</v>
      </c>
      <c r="F6" s="25" t="s">
        <v>92</v>
      </c>
      <c r="G6" s="33" t="s">
        <v>93</v>
      </c>
      <c r="H6" s="33" t="s">
        <v>94</v>
      </c>
      <c r="I6" s="33" t="s">
        <v>95</v>
      </c>
      <c r="J6" s="33" t="s">
        <v>97</v>
      </c>
      <c r="K6" s="33" t="s">
        <v>98</v>
      </c>
      <c r="L6" s="33" t="s">
        <v>100</v>
      </c>
      <c r="M6" s="33" t="s">
        <v>102</v>
      </c>
      <c r="N6" s="33" t="s">
        <v>104</v>
      </c>
      <c r="O6" s="33" t="s">
        <v>106</v>
      </c>
      <c r="P6" s="33" t="s">
        <v>108</v>
      </c>
      <c r="Q6" s="33" t="s">
        <v>110</v>
      </c>
      <c r="R6" s="33" t="s">
        <v>112</v>
      </c>
      <c r="S6" s="33" t="s">
        <v>113</v>
      </c>
      <c r="T6" s="33" t="s">
        <v>114</v>
      </c>
      <c r="U6" s="33" t="s">
        <v>115</v>
      </c>
      <c r="V6" s="33" t="s">
        <v>116</v>
      </c>
      <c r="W6" s="33" t="s">
        <v>117</v>
      </c>
      <c r="X6" s="31" t="s">
        <v>118</v>
      </c>
    </row>
    <row r="7" ht="67.5" customHeight="1">
      <c r="A7" s="23" t="s">
        <v>119</v>
      </c>
      <c r="B7" s="24" t="s">
        <v>120</v>
      </c>
      <c r="C7" s="24" t="s">
        <v>121</v>
      </c>
      <c r="D7" s="25" t="s">
        <v>122</v>
      </c>
      <c r="E7" s="25" t="s">
        <v>122</v>
      </c>
      <c r="F7" s="25" t="s">
        <v>122</v>
      </c>
      <c r="G7" s="27" t="s">
        <v>125</v>
      </c>
      <c r="H7" s="27" t="s">
        <v>127</v>
      </c>
      <c r="I7" s="27" t="s">
        <v>129</v>
      </c>
      <c r="J7" s="27" t="s">
        <v>130</v>
      </c>
      <c r="K7" s="27" t="s">
        <v>125</v>
      </c>
      <c r="L7" s="27" t="s">
        <v>131</v>
      </c>
      <c r="M7" s="27" t="s">
        <v>122</v>
      </c>
      <c r="N7" s="27" t="s">
        <v>132</v>
      </c>
      <c r="O7" s="27" t="s">
        <v>122</v>
      </c>
      <c r="P7" s="27" t="s">
        <v>133</v>
      </c>
      <c r="Q7" s="27" t="s">
        <v>134</v>
      </c>
      <c r="R7" s="27" t="s">
        <v>135</v>
      </c>
      <c r="S7" s="27" t="s">
        <v>125</v>
      </c>
      <c r="T7" s="27" t="s">
        <v>125</v>
      </c>
      <c r="U7" s="27" t="s">
        <v>137</v>
      </c>
      <c r="V7" s="27" t="s">
        <v>122</v>
      </c>
      <c r="W7" s="27" t="s">
        <v>125</v>
      </c>
      <c r="X7" s="31" t="s">
        <v>138</v>
      </c>
    </row>
    <row r="8" ht="67.5" customHeight="1">
      <c r="A8" s="43" t="s">
        <v>140</v>
      </c>
      <c r="B8" s="44" t="s">
        <v>144</v>
      </c>
      <c r="C8" s="44" t="s">
        <v>147</v>
      </c>
      <c r="D8" s="45" t="s">
        <v>148</v>
      </c>
      <c r="E8" s="45" t="s">
        <v>149</v>
      </c>
      <c r="F8" s="45" t="s">
        <v>150</v>
      </c>
      <c r="G8" s="33" t="s">
        <v>151</v>
      </c>
      <c r="H8" s="33" t="s">
        <v>152</v>
      </c>
      <c r="I8" s="33" t="s">
        <v>153</v>
      </c>
      <c r="J8" s="33" t="s">
        <v>154</v>
      </c>
      <c r="K8" s="33" t="s">
        <v>155</v>
      </c>
      <c r="L8" s="33" t="s">
        <v>156</v>
      </c>
      <c r="M8" s="33" t="s">
        <v>157</v>
      </c>
      <c r="N8" s="33" t="s">
        <v>158</v>
      </c>
      <c r="O8" s="48" t="s">
        <v>160</v>
      </c>
      <c r="P8" s="33" t="s">
        <v>161</v>
      </c>
      <c r="Q8" s="33" t="s">
        <v>162</v>
      </c>
      <c r="R8" s="33" t="s">
        <v>164</v>
      </c>
      <c r="S8" s="33" t="s">
        <v>166</v>
      </c>
      <c r="T8" s="33" t="s">
        <v>166</v>
      </c>
      <c r="U8" s="33" t="s">
        <v>168</v>
      </c>
      <c r="V8" s="33" t="s">
        <v>169</v>
      </c>
      <c r="W8" s="33" t="s">
        <v>170</v>
      </c>
      <c r="X8" s="45" t="s">
        <v>171</v>
      </c>
    </row>
    <row r="9" ht="67.5" customHeight="1">
      <c r="A9" s="43" t="s">
        <v>172</v>
      </c>
      <c r="B9" s="44" t="s">
        <v>173</v>
      </c>
      <c r="C9" s="44" t="s">
        <v>173</v>
      </c>
      <c r="D9" s="45" t="s">
        <v>174</v>
      </c>
      <c r="E9" s="45" t="s">
        <v>174</v>
      </c>
      <c r="F9" s="45" t="s">
        <v>174</v>
      </c>
      <c r="G9" s="27" t="s">
        <v>175</v>
      </c>
      <c r="H9" s="27" t="s">
        <v>176</v>
      </c>
      <c r="I9" s="27" t="s">
        <v>177</v>
      </c>
      <c r="J9" s="27" t="s">
        <v>178</v>
      </c>
      <c r="K9" s="27" t="s">
        <v>175</v>
      </c>
      <c r="L9" s="27" t="s">
        <v>179</v>
      </c>
      <c r="M9" s="27" t="s">
        <v>180</v>
      </c>
      <c r="N9" s="27" t="s">
        <v>181</v>
      </c>
      <c r="O9" s="27" t="s">
        <v>183</v>
      </c>
      <c r="P9" s="27" t="s">
        <v>178</v>
      </c>
      <c r="Q9" s="27" t="s">
        <v>186</v>
      </c>
      <c r="R9" s="27" t="s">
        <v>187</v>
      </c>
      <c r="S9" s="27" t="s">
        <v>188</v>
      </c>
      <c r="T9" s="27" t="s">
        <v>188</v>
      </c>
      <c r="U9" s="27" t="s">
        <v>189</v>
      </c>
      <c r="V9" s="27" t="s">
        <v>183</v>
      </c>
      <c r="W9" s="27" t="s">
        <v>188</v>
      </c>
      <c r="X9" s="45" t="s">
        <v>190</v>
      </c>
    </row>
    <row r="10" ht="67.5" customHeight="1">
      <c r="A10" s="43" t="s">
        <v>191</v>
      </c>
      <c r="B10" s="44" t="s">
        <v>192</v>
      </c>
      <c r="C10" s="44" t="s">
        <v>193</v>
      </c>
      <c r="D10" s="45" t="s">
        <v>194</v>
      </c>
      <c r="E10" s="45" t="s">
        <v>195</v>
      </c>
      <c r="F10" s="45" t="s">
        <v>196</v>
      </c>
      <c r="G10" s="50" t="s">
        <v>197</v>
      </c>
      <c r="H10" s="50" t="s">
        <v>198</v>
      </c>
      <c r="I10" s="50" t="s">
        <v>200</v>
      </c>
      <c r="J10" s="50" t="s">
        <v>202</v>
      </c>
      <c r="K10" s="50" t="s">
        <v>204</v>
      </c>
      <c r="L10" s="50" t="s">
        <v>205</v>
      </c>
      <c r="M10" s="50" t="s">
        <v>206</v>
      </c>
      <c r="N10" s="50" t="s">
        <v>207</v>
      </c>
      <c r="O10" s="51" t="s">
        <v>208</v>
      </c>
      <c r="P10" s="50" t="s">
        <v>209</v>
      </c>
      <c r="Q10" s="50" t="s">
        <v>210</v>
      </c>
      <c r="R10" s="50" t="s">
        <v>211</v>
      </c>
      <c r="S10" s="50" t="s">
        <v>212</v>
      </c>
      <c r="T10" s="50" t="s">
        <v>212</v>
      </c>
      <c r="U10" s="50" t="s">
        <v>213</v>
      </c>
      <c r="V10" s="50" t="s">
        <v>214</v>
      </c>
      <c r="W10" s="50" t="s">
        <v>209</v>
      </c>
      <c r="X10" s="45" t="s">
        <v>215</v>
      </c>
    </row>
    <row r="11" ht="67.5" customHeight="1">
      <c r="A11" s="43" t="s">
        <v>216</v>
      </c>
      <c r="B11" s="44" t="s">
        <v>217</v>
      </c>
      <c r="C11" s="44" t="s">
        <v>218</v>
      </c>
      <c r="D11" s="45" t="s">
        <v>219</v>
      </c>
      <c r="E11" s="45" t="s">
        <v>221</v>
      </c>
      <c r="F11" s="45" t="s">
        <v>221</v>
      </c>
      <c r="G11" s="50" t="s">
        <v>222</v>
      </c>
      <c r="H11" s="50" t="s">
        <v>223</v>
      </c>
      <c r="I11" s="50" t="s">
        <v>224</v>
      </c>
      <c r="J11" s="50" t="s">
        <v>225</v>
      </c>
      <c r="K11" s="50" t="s">
        <v>226</v>
      </c>
      <c r="L11" s="50" t="s">
        <v>224</v>
      </c>
      <c r="M11" s="50" t="s">
        <v>225</v>
      </c>
      <c r="N11" s="50" t="s">
        <v>224</v>
      </c>
      <c r="O11" s="50" t="s">
        <v>224</v>
      </c>
      <c r="P11" s="50" t="s">
        <v>225</v>
      </c>
      <c r="Q11" s="50" t="s">
        <v>227</v>
      </c>
      <c r="R11" s="50" t="s">
        <v>225</v>
      </c>
      <c r="S11" s="50" t="s">
        <v>228</v>
      </c>
      <c r="T11" s="50" t="s">
        <v>224</v>
      </c>
      <c r="U11" s="50" t="s">
        <v>224</v>
      </c>
      <c r="V11" s="50" t="s">
        <v>228</v>
      </c>
      <c r="W11" s="50" t="s">
        <v>224</v>
      </c>
      <c r="X11" s="45" t="s">
        <v>229</v>
      </c>
    </row>
    <row r="12" ht="67.5" customHeight="1">
      <c r="A12" s="43" t="s">
        <v>230</v>
      </c>
      <c r="B12" s="44" t="s">
        <v>231</v>
      </c>
      <c r="C12" s="44" t="s">
        <v>232</v>
      </c>
      <c r="D12" s="45" t="s">
        <v>233</v>
      </c>
      <c r="E12" s="45" t="s">
        <v>234</v>
      </c>
      <c r="F12" s="45" t="s">
        <v>235</v>
      </c>
      <c r="G12" s="50" t="s">
        <v>236</v>
      </c>
      <c r="H12" s="50" t="s">
        <v>237</v>
      </c>
      <c r="I12" s="50" t="s">
        <v>238</v>
      </c>
      <c r="J12" s="50" t="s">
        <v>239</v>
      </c>
      <c r="K12" s="50" t="s">
        <v>241</v>
      </c>
      <c r="L12" s="50" t="s">
        <v>242</v>
      </c>
      <c r="M12" s="50" t="s">
        <v>243</v>
      </c>
      <c r="N12" s="50" t="s">
        <v>244</v>
      </c>
      <c r="O12" s="51" t="s">
        <v>245</v>
      </c>
      <c r="P12" s="50" t="s">
        <v>246</v>
      </c>
      <c r="Q12" s="50" t="s">
        <v>247</v>
      </c>
      <c r="R12" s="50" t="s">
        <v>248</v>
      </c>
      <c r="S12" s="50" t="s">
        <v>249</v>
      </c>
      <c r="T12" s="50" t="s">
        <v>249</v>
      </c>
      <c r="U12" s="50" t="s">
        <v>250</v>
      </c>
      <c r="V12" s="50" t="s">
        <v>251</v>
      </c>
      <c r="W12" s="50" t="s">
        <v>246</v>
      </c>
      <c r="X12" s="45" t="s">
        <v>252</v>
      </c>
    </row>
    <row r="13" ht="67.5" customHeight="1">
      <c r="A13" s="23" t="s">
        <v>255</v>
      </c>
      <c r="B13" s="24" t="s">
        <v>257</v>
      </c>
      <c r="C13" s="24" t="s">
        <v>258</v>
      </c>
      <c r="D13" s="25" t="s">
        <v>259</v>
      </c>
      <c r="E13" s="25" t="s">
        <v>260</v>
      </c>
      <c r="F13" s="25" t="s">
        <v>261</v>
      </c>
      <c r="G13" s="27" t="s">
        <v>262</v>
      </c>
      <c r="H13" s="27" t="s">
        <v>263</v>
      </c>
      <c r="I13" s="27" t="s">
        <v>264</v>
      </c>
      <c r="J13" s="27" t="s">
        <v>265</v>
      </c>
      <c r="K13" s="27" t="s">
        <v>266</v>
      </c>
      <c r="L13" s="27" t="s">
        <v>268</v>
      </c>
      <c r="M13" s="27" t="s">
        <v>270</v>
      </c>
      <c r="N13" s="27" t="s">
        <v>271</v>
      </c>
      <c r="O13" s="27" t="s">
        <v>272</v>
      </c>
      <c r="P13" s="27" t="s">
        <v>273</v>
      </c>
      <c r="Q13" s="27" t="s">
        <v>274</v>
      </c>
      <c r="R13" s="27" t="s">
        <v>275</v>
      </c>
      <c r="S13" s="27" t="s">
        <v>276</v>
      </c>
      <c r="T13" s="27" t="s">
        <v>277</v>
      </c>
      <c r="U13" s="27" t="s">
        <v>278</v>
      </c>
      <c r="V13" s="27" t="s">
        <v>279</v>
      </c>
      <c r="W13" s="27" t="s">
        <v>280</v>
      </c>
      <c r="X13" s="31" t="s">
        <v>281</v>
      </c>
    </row>
    <row r="14" ht="67.5" customHeight="1">
      <c r="A14" s="23" t="s">
        <v>282</v>
      </c>
      <c r="B14" s="24" t="s">
        <v>283</v>
      </c>
      <c r="C14" s="24" t="s">
        <v>284</v>
      </c>
      <c r="D14" s="25" t="s">
        <v>285</v>
      </c>
      <c r="E14" s="25" t="s">
        <v>286</v>
      </c>
      <c r="F14" s="25" t="s">
        <v>288</v>
      </c>
      <c r="G14" s="33" t="s">
        <v>291</v>
      </c>
      <c r="H14" s="33" t="s">
        <v>292</v>
      </c>
      <c r="I14" s="33" t="s">
        <v>293</v>
      </c>
      <c r="J14" s="33" t="s">
        <v>294</v>
      </c>
      <c r="K14" s="33" t="s">
        <v>295</v>
      </c>
      <c r="L14" s="33" t="s">
        <v>297</v>
      </c>
      <c r="M14" s="33" t="s">
        <v>298</v>
      </c>
      <c r="N14" s="33" t="s">
        <v>300</v>
      </c>
      <c r="O14" s="33" t="s">
        <v>301</v>
      </c>
      <c r="P14" s="33" t="s">
        <v>302</v>
      </c>
      <c r="Q14" s="33" t="s">
        <v>303</v>
      </c>
      <c r="R14" s="33" t="s">
        <v>304</v>
      </c>
      <c r="S14" s="33" t="s">
        <v>305</v>
      </c>
      <c r="T14" s="33" t="s">
        <v>306</v>
      </c>
      <c r="U14" s="33" t="s">
        <v>307</v>
      </c>
      <c r="V14" s="33" t="s">
        <v>308</v>
      </c>
      <c r="W14" s="33" t="s">
        <v>309</v>
      </c>
      <c r="X14" s="31" t="s">
        <v>310</v>
      </c>
    </row>
    <row r="15">
      <c r="A15" s="23" t="s">
        <v>311</v>
      </c>
      <c r="B15" s="24" t="s">
        <v>313</v>
      </c>
      <c r="C15" s="24" t="s">
        <v>314</v>
      </c>
      <c r="D15" s="25" t="s">
        <v>316</v>
      </c>
      <c r="E15" s="25" t="s">
        <v>317</v>
      </c>
      <c r="F15" s="25" t="s">
        <v>318</v>
      </c>
      <c r="G15" s="27" t="s">
        <v>319</v>
      </c>
      <c r="H15" s="27" t="s">
        <v>320</v>
      </c>
      <c r="I15" s="27" t="s">
        <v>321</v>
      </c>
      <c r="J15" s="27" t="s">
        <v>322</v>
      </c>
      <c r="K15" s="27" t="s">
        <v>323</v>
      </c>
      <c r="L15" s="27" t="s">
        <v>324</v>
      </c>
      <c r="M15" s="27" t="s">
        <v>325</v>
      </c>
      <c r="N15" s="27" t="s">
        <v>326</v>
      </c>
      <c r="O15" s="27" t="s">
        <v>327</v>
      </c>
      <c r="P15" s="27" t="s">
        <v>328</v>
      </c>
      <c r="Q15" s="27" t="s">
        <v>329</v>
      </c>
      <c r="R15" s="27" t="s">
        <v>331</v>
      </c>
      <c r="S15" s="27" t="s">
        <v>332</v>
      </c>
      <c r="T15" s="27" t="s">
        <v>333</v>
      </c>
      <c r="U15" s="27" t="s">
        <v>334</v>
      </c>
      <c r="V15" s="27" t="s">
        <v>335</v>
      </c>
      <c r="W15" s="27" t="s">
        <v>336</v>
      </c>
      <c r="X15" s="61" t="s">
        <v>337</v>
      </c>
    </row>
    <row r="16" ht="31.5" customHeight="1">
      <c r="A16" s="62" t="s">
        <v>338</v>
      </c>
    </row>
    <row r="17" ht="94.5" customHeight="1">
      <c r="A17" s="63" t="s">
        <v>339</v>
      </c>
      <c r="B17" s="64" t="s">
        <v>340</v>
      </c>
      <c r="C17" s="64" t="s">
        <v>341</v>
      </c>
      <c r="D17" s="31" t="s">
        <v>342</v>
      </c>
      <c r="E17" s="31" t="s">
        <v>343</v>
      </c>
      <c r="F17" s="31" t="s">
        <v>344</v>
      </c>
      <c r="G17" s="65" t="s">
        <v>345</v>
      </c>
      <c r="H17" s="65" t="s">
        <v>346</v>
      </c>
      <c r="I17" s="65" t="s">
        <v>347</v>
      </c>
      <c r="J17" s="65" t="s">
        <v>348</v>
      </c>
      <c r="K17" s="65" t="s">
        <v>349</v>
      </c>
      <c r="L17" s="65" t="s">
        <v>351</v>
      </c>
      <c r="M17" s="65" t="s">
        <v>352</v>
      </c>
      <c r="N17" s="65" t="s">
        <v>353</v>
      </c>
      <c r="O17" s="65" t="s">
        <v>354</v>
      </c>
      <c r="P17" s="65" t="s">
        <v>355</v>
      </c>
      <c r="Q17" s="65" t="s">
        <v>356</v>
      </c>
      <c r="R17" s="65" t="s">
        <v>357</v>
      </c>
      <c r="S17" s="65" t="s">
        <v>358</v>
      </c>
      <c r="T17" s="65" t="s">
        <v>359</v>
      </c>
      <c r="U17" s="65" t="s">
        <v>360</v>
      </c>
      <c r="V17" s="65" t="s">
        <v>361</v>
      </c>
      <c r="W17" s="65" t="s">
        <v>362</v>
      </c>
      <c r="X17" s="31" t="s">
        <v>363</v>
      </c>
    </row>
    <row r="18" ht="94.5" customHeight="1">
      <c r="A18" s="63" t="s">
        <v>364</v>
      </c>
      <c r="B18" s="64" t="s">
        <v>365</v>
      </c>
      <c r="C18" s="64" t="s">
        <v>366</v>
      </c>
      <c r="D18" s="61" t="s">
        <v>367</v>
      </c>
      <c r="E18" s="61" t="s">
        <v>368</v>
      </c>
      <c r="F18" s="61" t="s">
        <v>370</v>
      </c>
      <c r="G18" s="61" t="s">
        <v>371</v>
      </c>
      <c r="H18" s="61" t="s">
        <v>373</v>
      </c>
      <c r="I18" s="61" t="s">
        <v>374</v>
      </c>
      <c r="J18" s="61" t="s">
        <v>375</v>
      </c>
      <c r="K18" s="61" t="s">
        <v>376</v>
      </c>
      <c r="L18" s="61" t="s">
        <v>377</v>
      </c>
      <c r="M18" s="61" t="s">
        <v>378</v>
      </c>
      <c r="N18" s="61" t="s">
        <v>379</v>
      </c>
      <c r="O18" s="61" t="s">
        <v>380</v>
      </c>
      <c r="P18" s="61" t="s">
        <v>383</v>
      </c>
      <c r="Q18" s="61" t="s">
        <v>384</v>
      </c>
      <c r="R18" s="61" t="s">
        <v>385</v>
      </c>
      <c r="S18" s="61" t="s">
        <v>386</v>
      </c>
      <c r="T18" s="61" t="s">
        <v>387</v>
      </c>
      <c r="U18" s="61" t="s">
        <v>388</v>
      </c>
      <c r="V18" s="61" t="s">
        <v>389</v>
      </c>
      <c r="W18" s="61" t="s">
        <v>390</v>
      </c>
      <c r="X18" s="61" t="s">
        <v>391</v>
      </c>
    </row>
    <row r="19" ht="94.5" customHeight="1">
      <c r="A19" s="63" t="s">
        <v>392</v>
      </c>
      <c r="B19" s="66" t="s">
        <v>393</v>
      </c>
      <c r="C19" s="66" t="s">
        <v>394</v>
      </c>
      <c r="D19" s="31" t="s">
        <v>395</v>
      </c>
      <c r="E19" s="31" t="s">
        <v>396</v>
      </c>
      <c r="F19" s="31" t="s">
        <v>397</v>
      </c>
      <c r="G19" s="61" t="s">
        <v>398</v>
      </c>
      <c r="H19" s="61" t="s">
        <v>399</v>
      </c>
      <c r="I19" s="61" t="s">
        <v>401</v>
      </c>
      <c r="J19" s="61" t="s">
        <v>402</v>
      </c>
      <c r="K19" s="61" t="s">
        <v>403</v>
      </c>
      <c r="L19" s="61" t="s">
        <v>405</v>
      </c>
      <c r="M19" s="61" t="s">
        <v>406</v>
      </c>
      <c r="N19" s="61" t="s">
        <v>407</v>
      </c>
      <c r="O19" s="61" t="s">
        <v>408</v>
      </c>
      <c r="P19" s="61" t="s">
        <v>409</v>
      </c>
      <c r="Q19" s="61" t="s">
        <v>411</v>
      </c>
      <c r="R19" s="61" t="s">
        <v>412</v>
      </c>
      <c r="S19" s="61" t="s">
        <v>414</v>
      </c>
      <c r="T19" s="61" t="s">
        <v>414</v>
      </c>
      <c r="U19" s="61" t="s">
        <v>415</v>
      </c>
      <c r="V19" s="61" t="s">
        <v>416</v>
      </c>
      <c r="W19" s="61" t="s">
        <v>409</v>
      </c>
      <c r="X19" s="67" t="s">
        <v>417</v>
      </c>
    </row>
    <row r="20" ht="75.0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</row>
    <row r="21" ht="75.0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</row>
    <row r="22" ht="75.0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9"/>
    </row>
    <row r="23" ht="75.0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9"/>
    </row>
    <row r="24" ht="75.0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9"/>
    </row>
    <row r="25" ht="75.0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9"/>
    </row>
    <row r="26" ht="75.0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1"/>
    </row>
    <row r="27" ht="75.0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1"/>
    </row>
    <row r="28" ht="75.0" customHeight="1">
      <c r="A28" s="71"/>
      <c r="B28" s="24"/>
      <c r="C28" s="24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1"/>
    </row>
    <row r="29" ht="75.0" customHeight="1">
      <c r="A29" s="72"/>
      <c r="B29" s="24"/>
      <c r="C29" s="24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1"/>
    </row>
    <row r="30" ht="75.0" customHeight="1">
      <c r="A30" s="71"/>
      <c r="B30" s="24"/>
      <c r="C30" s="24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1"/>
    </row>
    <row r="31" ht="75.0" customHeight="1">
      <c r="A31" s="72"/>
      <c r="B31" s="24"/>
      <c r="C31" s="24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1"/>
    </row>
    <row r="32" ht="75.0" customHeight="1">
      <c r="A32" s="71"/>
      <c r="B32" s="24"/>
      <c r="C32" s="24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1"/>
    </row>
    <row r="33" ht="75.0" customHeight="1">
      <c r="A33" s="72"/>
      <c r="B33" s="24"/>
      <c r="C33" s="24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1"/>
    </row>
    <row r="34" ht="75.0" customHeight="1">
      <c r="A34" s="71"/>
      <c r="B34" s="24"/>
      <c r="C34" s="24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1"/>
    </row>
    <row r="35" ht="75.0" customHeight="1">
      <c r="A35" s="72"/>
      <c r="B35" s="24"/>
      <c r="C35" s="24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1"/>
    </row>
    <row r="36" ht="75.0" customHeight="1">
      <c r="A36" s="71"/>
      <c r="B36" s="24"/>
      <c r="C36" s="2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1"/>
    </row>
    <row r="37" ht="75.0" customHeight="1">
      <c r="A37" s="72"/>
      <c r="B37" s="24"/>
      <c r="C37" s="24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1"/>
    </row>
    <row r="38" ht="75.0" customHeight="1">
      <c r="A38" s="71"/>
      <c r="B38" s="24"/>
      <c r="C38" s="24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1"/>
    </row>
    <row r="39" ht="75.0" customHeight="1">
      <c r="A39" s="72"/>
      <c r="B39" s="24"/>
      <c r="C39" s="24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1"/>
    </row>
    <row r="40" ht="75.0" customHeight="1">
      <c r="A40" s="71"/>
      <c r="B40" s="24"/>
      <c r="C40" s="24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1"/>
    </row>
    <row r="41" ht="75.0" customHeight="1">
      <c r="A41" s="72"/>
      <c r="B41" s="24"/>
      <c r="C41" s="24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1"/>
    </row>
    <row r="42" ht="75.0" customHeight="1">
      <c r="A42" s="71"/>
      <c r="B42" s="24"/>
      <c r="C42" s="24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1"/>
    </row>
    <row r="43" ht="75.0" customHeight="1">
      <c r="A43" s="72"/>
      <c r="B43" s="24"/>
      <c r="C43" s="24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1"/>
    </row>
    <row r="44" ht="75.0" customHeight="1">
      <c r="A44" s="71"/>
      <c r="B44" s="24"/>
      <c r="C44" s="24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1"/>
    </row>
    <row r="45" ht="75.0" customHeight="1">
      <c r="A45" s="72"/>
      <c r="B45" s="24"/>
      <c r="C45" s="24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1"/>
    </row>
    <row r="46" ht="75.0" customHeight="1">
      <c r="A46" s="71"/>
      <c r="B46" s="24"/>
      <c r="C46" s="24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1"/>
    </row>
    <row r="47" ht="75.0" customHeight="1">
      <c r="A47" s="72"/>
      <c r="B47" s="24"/>
      <c r="C47" s="24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1"/>
    </row>
    <row r="48" ht="75.0" customHeight="1">
      <c r="A48" s="71"/>
      <c r="B48" s="24"/>
      <c r="C48" s="24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1"/>
    </row>
    <row r="49" ht="75.0" customHeight="1">
      <c r="A49" s="72"/>
      <c r="B49" s="24"/>
      <c r="C49" s="24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1"/>
    </row>
    <row r="50" ht="75.0" customHeight="1">
      <c r="A50" s="71"/>
      <c r="B50" s="24"/>
      <c r="C50" s="24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1"/>
    </row>
    <row r="51" ht="75.0" customHeight="1">
      <c r="A51" s="72"/>
      <c r="B51" s="24"/>
      <c r="C51" s="24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1"/>
    </row>
    <row r="52" ht="75.0" customHeight="1">
      <c r="A52" s="71"/>
      <c r="B52" s="24"/>
      <c r="C52" s="24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1"/>
    </row>
    <row r="53" ht="75.0" customHeight="1">
      <c r="A53" s="72"/>
      <c r="B53" s="24"/>
      <c r="C53" s="24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1"/>
    </row>
    <row r="54" ht="75.0" customHeight="1">
      <c r="A54" s="71"/>
      <c r="B54" s="24"/>
      <c r="C54" s="24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1"/>
    </row>
    <row r="55" ht="75.0" customHeight="1">
      <c r="A55" s="72"/>
      <c r="B55" s="24"/>
      <c r="C55" s="24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1"/>
    </row>
    <row r="56" ht="75.0" customHeight="1">
      <c r="A56" s="71"/>
      <c r="B56" s="24"/>
      <c r="C56" s="24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1"/>
    </row>
    <row r="57" ht="75.0" customHeight="1">
      <c r="A57" s="72"/>
      <c r="B57" s="24"/>
      <c r="C57" s="24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1"/>
    </row>
    <row r="58" ht="75.0" customHeight="1">
      <c r="A58" s="71"/>
      <c r="B58" s="24"/>
      <c r="C58" s="24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1"/>
    </row>
    <row r="59" ht="75.0" customHeight="1">
      <c r="A59" s="72"/>
      <c r="B59" s="24"/>
      <c r="C59" s="24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1"/>
    </row>
    <row r="60" ht="75.0" customHeight="1">
      <c r="A60" s="71"/>
      <c r="B60" s="24"/>
      <c r="C60" s="24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1"/>
    </row>
    <row r="61" ht="75.0" customHeight="1">
      <c r="A61" s="72"/>
      <c r="B61" s="24"/>
      <c r="C61" s="24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1"/>
    </row>
    <row r="62" ht="75.0" customHeight="1">
      <c r="A62" s="71"/>
      <c r="B62" s="24"/>
      <c r="C62" s="24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1"/>
    </row>
    <row r="63" ht="75.0" customHeight="1">
      <c r="A63" s="72"/>
      <c r="B63" s="24"/>
      <c r="C63" s="24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1"/>
    </row>
    <row r="64" ht="75.0" customHeight="1">
      <c r="A64" s="71"/>
      <c r="B64" s="24"/>
      <c r="C64" s="24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1"/>
    </row>
    <row r="65" ht="75.0" customHeight="1">
      <c r="A65" s="72"/>
      <c r="B65" s="24"/>
      <c r="C65" s="24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1"/>
    </row>
    <row r="66" ht="75.0" customHeight="1">
      <c r="A66" s="71"/>
      <c r="B66" s="24"/>
      <c r="C66" s="24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1"/>
    </row>
    <row r="67" ht="75.0" customHeight="1">
      <c r="A67" s="72"/>
      <c r="B67" s="24"/>
      <c r="C67" s="24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1"/>
    </row>
    <row r="68" ht="75.0" customHeight="1">
      <c r="A68" s="71"/>
      <c r="B68" s="24"/>
      <c r="C68" s="24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1"/>
    </row>
    <row r="69" ht="75.0" customHeight="1">
      <c r="A69" s="72"/>
      <c r="B69" s="24"/>
      <c r="C69" s="24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1"/>
    </row>
    <row r="70" ht="75.0" customHeight="1">
      <c r="A70" s="71"/>
      <c r="B70" s="24"/>
      <c r="C70" s="24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1"/>
    </row>
    <row r="71" ht="75.0" customHeight="1">
      <c r="A71" s="72"/>
      <c r="B71" s="24"/>
      <c r="C71" s="24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1"/>
    </row>
    <row r="72" ht="75.0" customHeight="1">
      <c r="A72" s="71"/>
      <c r="B72" s="24"/>
      <c r="C72" s="24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1"/>
    </row>
    <row r="73" ht="75.0" customHeight="1">
      <c r="A73" s="72"/>
      <c r="B73" s="24"/>
      <c r="C73" s="24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1"/>
    </row>
    <row r="74" ht="75.0" customHeight="1">
      <c r="A74" s="71"/>
      <c r="B74" s="24"/>
      <c r="C74" s="24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1"/>
    </row>
    <row r="75" ht="75.0" customHeight="1">
      <c r="A75" s="72"/>
      <c r="B75" s="24"/>
      <c r="C75" s="24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1"/>
    </row>
    <row r="76" ht="75.0" customHeight="1">
      <c r="A76" s="71"/>
      <c r="B76" s="24"/>
      <c r="C76" s="24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1"/>
    </row>
    <row r="77" ht="75.0" customHeight="1">
      <c r="A77" s="72"/>
      <c r="B77" s="24"/>
      <c r="C77" s="24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1"/>
    </row>
    <row r="78" ht="75.0" customHeight="1">
      <c r="A78" s="71"/>
      <c r="B78" s="24"/>
      <c r="C78" s="24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1"/>
    </row>
    <row r="79" ht="75.0" customHeight="1">
      <c r="A79" s="72"/>
      <c r="B79" s="24"/>
      <c r="C79" s="24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1"/>
    </row>
    <row r="80" ht="75.0" customHeight="1">
      <c r="A80" s="71"/>
      <c r="B80" s="24"/>
      <c r="C80" s="24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1"/>
    </row>
    <row r="81" ht="75.0" customHeight="1">
      <c r="A81" s="72"/>
      <c r="B81" s="24"/>
      <c r="C81" s="24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1"/>
    </row>
    <row r="82" ht="75.0" customHeight="1">
      <c r="A82" s="71"/>
      <c r="B82" s="24"/>
      <c r="C82" s="24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1"/>
    </row>
    <row r="83" ht="75.0" customHeight="1">
      <c r="A83" s="72"/>
      <c r="B83" s="24"/>
      <c r="C83" s="24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1"/>
    </row>
    <row r="84" ht="75.0" customHeight="1">
      <c r="A84" s="71"/>
      <c r="B84" s="24"/>
      <c r="C84" s="24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1"/>
    </row>
    <row r="85" ht="75.0" customHeight="1">
      <c r="A85" s="72"/>
      <c r="B85" s="24"/>
      <c r="C85" s="24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1"/>
    </row>
    <row r="86" ht="75.0" customHeight="1">
      <c r="A86" s="71"/>
      <c r="B86" s="24"/>
      <c r="C86" s="2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1"/>
    </row>
    <row r="87" ht="75.0" customHeight="1">
      <c r="A87" s="72"/>
      <c r="B87" s="24"/>
      <c r="C87" s="24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1"/>
    </row>
    <row r="88" ht="75.0" customHeight="1">
      <c r="A88" s="71"/>
      <c r="B88" s="24"/>
      <c r="C88" s="24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1"/>
    </row>
    <row r="89" ht="75.0" customHeight="1">
      <c r="A89" s="72"/>
      <c r="B89" s="24"/>
      <c r="C89" s="24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1"/>
    </row>
    <row r="90" ht="75.0" customHeight="1">
      <c r="A90" s="71"/>
      <c r="B90" s="24"/>
      <c r="C90" s="24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1"/>
    </row>
    <row r="91" ht="75.0" customHeight="1">
      <c r="A91" s="72"/>
      <c r="B91" s="24"/>
      <c r="C91" s="24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1"/>
    </row>
    <row r="92" ht="75.0" customHeight="1">
      <c r="A92" s="71"/>
      <c r="B92" s="24"/>
      <c r="C92" s="24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1"/>
    </row>
    <row r="93" ht="75.0" customHeight="1">
      <c r="A93" s="72"/>
      <c r="B93" s="24"/>
      <c r="C93" s="24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1"/>
    </row>
    <row r="94" ht="75.0" customHeight="1">
      <c r="A94" s="71"/>
      <c r="B94" s="24"/>
      <c r="C94" s="24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1"/>
    </row>
    <row r="95" ht="75.0" customHeight="1">
      <c r="A95" s="72"/>
      <c r="B95" s="24"/>
      <c r="C95" s="24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1"/>
    </row>
    <row r="96" ht="75.0" customHeight="1">
      <c r="A96" s="71"/>
      <c r="B96" s="24"/>
      <c r="C96" s="24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1"/>
    </row>
    <row r="97" ht="75.0" customHeight="1">
      <c r="A97" s="72"/>
      <c r="B97" s="24"/>
      <c r="C97" s="24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1"/>
    </row>
    <row r="98" ht="75.0" customHeight="1">
      <c r="A98" s="71"/>
      <c r="B98" s="24"/>
      <c r="C98" s="24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1"/>
    </row>
    <row r="99" ht="75.0" customHeight="1">
      <c r="A99" s="72"/>
      <c r="B99" s="24"/>
      <c r="C99" s="24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1"/>
    </row>
    <row r="100" ht="75.0" customHeight="1">
      <c r="A100" s="71"/>
      <c r="B100" s="24"/>
      <c r="C100" s="24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1"/>
    </row>
    <row r="101" ht="75.0" customHeight="1">
      <c r="A101" s="72"/>
      <c r="B101" s="24"/>
      <c r="C101" s="24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1"/>
    </row>
    <row r="102" ht="75.0" customHeight="1">
      <c r="A102" s="71"/>
      <c r="B102" s="24"/>
      <c r="C102" s="24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1"/>
    </row>
    <row r="103" ht="75.0" customHeight="1">
      <c r="A103" s="72"/>
      <c r="B103" s="24"/>
      <c r="C103" s="24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1"/>
    </row>
    <row r="104" ht="75.0" customHeight="1">
      <c r="A104" s="71"/>
      <c r="B104" s="24"/>
      <c r="C104" s="24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1"/>
    </row>
    <row r="105" ht="75.0" customHeight="1">
      <c r="A105" s="72"/>
      <c r="B105" s="24"/>
      <c r="C105" s="24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1"/>
    </row>
    <row r="106" ht="75.0" customHeight="1">
      <c r="A106" s="71"/>
      <c r="B106" s="24"/>
      <c r="C106" s="24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1"/>
    </row>
    <row r="107" ht="75.0" customHeight="1">
      <c r="A107" s="72"/>
      <c r="B107" s="24"/>
      <c r="C107" s="24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1"/>
    </row>
    <row r="108" ht="75.0" customHeight="1">
      <c r="A108" s="71"/>
      <c r="B108" s="24"/>
      <c r="C108" s="24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1"/>
    </row>
    <row r="109" ht="75.0" customHeight="1">
      <c r="A109" s="72"/>
      <c r="B109" s="24"/>
      <c r="C109" s="24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1"/>
    </row>
    <row r="110" ht="75.0" customHeight="1">
      <c r="A110" s="71"/>
      <c r="B110" s="24"/>
      <c r="C110" s="24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1"/>
    </row>
    <row r="111" ht="75.0" customHeight="1">
      <c r="A111" s="72"/>
      <c r="B111" s="24"/>
      <c r="C111" s="24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1"/>
    </row>
    <row r="112" ht="75.0" customHeight="1">
      <c r="A112" s="71"/>
      <c r="B112" s="24"/>
      <c r="C112" s="24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1"/>
    </row>
    <row r="113" ht="75.0" customHeight="1">
      <c r="A113" s="72"/>
      <c r="B113" s="24"/>
      <c r="C113" s="24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1"/>
    </row>
    <row r="114" ht="75.0" customHeight="1">
      <c r="A114" s="71"/>
      <c r="B114" s="24"/>
      <c r="C114" s="24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1"/>
    </row>
    <row r="115" ht="75.0" customHeight="1">
      <c r="A115" s="72"/>
      <c r="B115" s="24"/>
      <c r="C115" s="24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1"/>
    </row>
    <row r="116" ht="75.0" customHeight="1">
      <c r="A116" s="71"/>
      <c r="B116" s="24"/>
      <c r="C116" s="24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1"/>
    </row>
    <row r="117" ht="75.0" customHeight="1">
      <c r="A117" s="72"/>
      <c r="B117" s="24"/>
      <c r="C117" s="24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1"/>
    </row>
    <row r="118" ht="75.0" customHeight="1">
      <c r="A118" s="71"/>
      <c r="B118" s="24"/>
      <c r="C118" s="24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1"/>
    </row>
    <row r="119" ht="75.0" customHeight="1">
      <c r="A119" s="72"/>
      <c r="B119" s="24"/>
      <c r="C119" s="24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1"/>
    </row>
    <row r="120" ht="75.0" customHeight="1">
      <c r="A120" s="71"/>
      <c r="B120" s="24"/>
      <c r="C120" s="24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1"/>
    </row>
    <row r="121" ht="75.0" customHeight="1">
      <c r="A121" s="72"/>
      <c r="B121" s="24"/>
      <c r="C121" s="24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1"/>
    </row>
    <row r="122" ht="75.0" customHeight="1">
      <c r="A122" s="71"/>
      <c r="B122" s="24"/>
      <c r="C122" s="24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1"/>
    </row>
    <row r="123" ht="75.0" customHeight="1">
      <c r="A123" s="72"/>
      <c r="B123" s="24"/>
      <c r="C123" s="24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1"/>
    </row>
    <row r="124" ht="75.0" customHeight="1">
      <c r="A124" s="71"/>
      <c r="B124" s="24"/>
      <c r="C124" s="24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1"/>
    </row>
    <row r="125" ht="75.0" customHeight="1">
      <c r="A125" s="72"/>
      <c r="B125" s="24"/>
      <c r="C125" s="24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1"/>
    </row>
    <row r="126" ht="75.0" customHeight="1">
      <c r="A126" s="71"/>
      <c r="B126" s="24"/>
      <c r="C126" s="24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1"/>
    </row>
    <row r="127" ht="75.0" customHeight="1">
      <c r="A127" s="72"/>
      <c r="B127" s="24"/>
      <c r="C127" s="24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1"/>
    </row>
    <row r="128" ht="75.0" customHeight="1">
      <c r="A128" s="71"/>
      <c r="B128" s="24"/>
      <c r="C128" s="24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1"/>
    </row>
    <row r="129" ht="75.0" customHeight="1">
      <c r="A129" s="72"/>
      <c r="B129" s="24"/>
      <c r="C129" s="24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1"/>
    </row>
    <row r="130" ht="75.0" customHeight="1">
      <c r="A130" s="71"/>
      <c r="B130" s="24"/>
      <c r="C130" s="24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1"/>
    </row>
    <row r="131" ht="75.0" customHeight="1">
      <c r="A131" s="72"/>
      <c r="B131" s="24"/>
      <c r="C131" s="24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1"/>
    </row>
    <row r="132" ht="75.0" customHeight="1">
      <c r="A132" s="71"/>
      <c r="B132" s="24"/>
      <c r="C132" s="24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1"/>
    </row>
    <row r="133" ht="75.0" customHeight="1">
      <c r="A133" s="72"/>
      <c r="B133" s="24"/>
      <c r="C133" s="24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1"/>
    </row>
    <row r="134" ht="75.0" customHeight="1">
      <c r="A134" s="71"/>
      <c r="B134" s="24"/>
      <c r="C134" s="24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1"/>
    </row>
    <row r="135" ht="75.0" customHeight="1">
      <c r="A135" s="72"/>
      <c r="B135" s="24"/>
      <c r="C135" s="24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1"/>
    </row>
    <row r="136" ht="75.0" customHeight="1">
      <c r="A136" s="71"/>
      <c r="B136" s="24"/>
      <c r="C136" s="24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1"/>
    </row>
    <row r="137" ht="75.0" customHeight="1">
      <c r="A137" s="72"/>
      <c r="B137" s="24"/>
      <c r="C137" s="24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1"/>
    </row>
    <row r="138" ht="75.0" customHeight="1">
      <c r="A138" s="71"/>
      <c r="B138" s="24"/>
      <c r="C138" s="24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1"/>
    </row>
    <row r="139" ht="75.0" customHeight="1">
      <c r="A139" s="72"/>
      <c r="B139" s="24"/>
      <c r="C139" s="24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1"/>
    </row>
    <row r="140" ht="75.0" customHeight="1">
      <c r="A140" s="71"/>
      <c r="B140" s="24"/>
      <c r="C140" s="24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1"/>
    </row>
    <row r="141" ht="75.0" customHeight="1">
      <c r="A141" s="72"/>
      <c r="B141" s="24"/>
      <c r="C141" s="24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1"/>
    </row>
    <row r="142" ht="75.0" customHeight="1">
      <c r="A142" s="71"/>
      <c r="B142" s="24"/>
      <c r="C142" s="24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1"/>
    </row>
    <row r="143" ht="75.0" customHeight="1">
      <c r="A143" s="72"/>
      <c r="B143" s="24"/>
      <c r="C143" s="24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1"/>
    </row>
    <row r="144" ht="75.0" customHeight="1">
      <c r="A144" s="71"/>
      <c r="B144" s="24"/>
      <c r="C144" s="24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1"/>
    </row>
    <row r="145" ht="75.0" customHeight="1">
      <c r="A145" s="72"/>
      <c r="B145" s="24"/>
      <c r="C145" s="24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1"/>
    </row>
    <row r="146" ht="75.0" customHeight="1">
      <c r="A146" s="71"/>
      <c r="B146" s="24"/>
      <c r="C146" s="24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1"/>
    </row>
    <row r="147" ht="75.0" customHeight="1">
      <c r="A147" s="72"/>
      <c r="B147" s="24"/>
      <c r="C147" s="24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1"/>
    </row>
    <row r="148" ht="75.0" customHeight="1">
      <c r="A148" s="71"/>
      <c r="B148" s="24"/>
      <c r="C148" s="24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1"/>
    </row>
    <row r="149" ht="75.0" customHeight="1">
      <c r="A149" s="72"/>
      <c r="B149" s="24"/>
      <c r="C149" s="24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1"/>
    </row>
    <row r="150" ht="75.0" customHeight="1">
      <c r="A150" s="71"/>
      <c r="B150" s="24"/>
      <c r="C150" s="24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1"/>
    </row>
    <row r="151" ht="75.0" customHeight="1">
      <c r="A151" s="72"/>
      <c r="B151" s="24"/>
      <c r="C151" s="24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1"/>
    </row>
    <row r="152" ht="75.0" customHeight="1">
      <c r="A152" s="71"/>
      <c r="B152" s="24"/>
      <c r="C152" s="24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1"/>
    </row>
    <row r="153" ht="75.0" customHeight="1">
      <c r="A153" s="72"/>
      <c r="B153" s="24"/>
      <c r="C153" s="24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1"/>
    </row>
    <row r="154" ht="75.0" customHeight="1">
      <c r="A154" s="71"/>
      <c r="B154" s="24"/>
      <c r="C154" s="24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1"/>
    </row>
    <row r="155" ht="75.0" customHeight="1">
      <c r="A155" s="72"/>
      <c r="B155" s="24"/>
      <c r="C155" s="24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1"/>
    </row>
    <row r="156" ht="75.0" customHeight="1">
      <c r="A156" s="71"/>
      <c r="B156" s="24"/>
      <c r="C156" s="24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1"/>
    </row>
    <row r="157" ht="75.0" customHeight="1">
      <c r="A157" s="72"/>
      <c r="B157" s="24"/>
      <c r="C157" s="24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1"/>
    </row>
    <row r="158" ht="75.0" customHeight="1">
      <c r="A158" s="71"/>
      <c r="B158" s="24"/>
      <c r="C158" s="24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1"/>
    </row>
    <row r="159" ht="75.0" customHeight="1">
      <c r="A159" s="72"/>
      <c r="B159" s="24"/>
      <c r="C159" s="24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1"/>
    </row>
    <row r="160" ht="75.0" customHeight="1">
      <c r="A160" s="71"/>
      <c r="B160" s="24"/>
      <c r="C160" s="24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1"/>
    </row>
    <row r="161" ht="75.0" customHeight="1">
      <c r="A161" s="72"/>
      <c r="B161" s="24"/>
      <c r="C161" s="24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1"/>
    </row>
    <row r="162" ht="75.0" customHeight="1">
      <c r="A162" s="71"/>
      <c r="B162" s="24"/>
      <c r="C162" s="24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1"/>
    </row>
    <row r="163" ht="75.0" customHeight="1">
      <c r="A163" s="72"/>
      <c r="B163" s="24"/>
      <c r="C163" s="24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1"/>
    </row>
    <row r="164" ht="75.0" customHeight="1">
      <c r="A164" s="71"/>
      <c r="B164" s="24"/>
      <c r="C164" s="24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1"/>
    </row>
    <row r="165" ht="75.0" customHeight="1">
      <c r="A165" s="72"/>
      <c r="B165" s="24"/>
      <c r="C165" s="24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1"/>
    </row>
    <row r="166" ht="75.0" customHeight="1">
      <c r="A166" s="71"/>
      <c r="B166" s="24"/>
      <c r="C166" s="24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1"/>
    </row>
    <row r="167" ht="75.0" customHeight="1">
      <c r="A167" s="72"/>
      <c r="B167" s="24"/>
      <c r="C167" s="24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1"/>
    </row>
    <row r="168" ht="75.0" customHeight="1">
      <c r="A168" s="71"/>
      <c r="B168" s="24"/>
      <c r="C168" s="24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1"/>
    </row>
    <row r="169" ht="75.0" customHeight="1">
      <c r="A169" s="72"/>
      <c r="B169" s="24"/>
      <c r="C169" s="24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1"/>
    </row>
    <row r="170" ht="75.0" customHeight="1">
      <c r="A170" s="71"/>
      <c r="B170" s="24"/>
      <c r="C170" s="24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1"/>
    </row>
    <row r="171" ht="75.0" customHeight="1">
      <c r="A171" s="72"/>
      <c r="B171" s="24"/>
      <c r="C171" s="24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1"/>
    </row>
    <row r="172" ht="75.0" customHeight="1">
      <c r="A172" s="71"/>
      <c r="B172" s="24"/>
      <c r="C172" s="24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1"/>
    </row>
    <row r="173" ht="75.0" customHeight="1">
      <c r="A173" s="72"/>
      <c r="B173" s="24"/>
      <c r="C173" s="24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1"/>
    </row>
    <row r="174" ht="75.0" customHeight="1">
      <c r="A174" s="71"/>
      <c r="B174" s="24"/>
      <c r="C174" s="24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1"/>
    </row>
    <row r="175" ht="75.0" customHeight="1">
      <c r="A175" s="72"/>
      <c r="B175" s="24"/>
      <c r="C175" s="24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1"/>
    </row>
    <row r="176" ht="75.0" customHeight="1">
      <c r="A176" s="71"/>
      <c r="B176" s="24"/>
      <c r="C176" s="24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1"/>
    </row>
    <row r="177" ht="75.0" customHeight="1">
      <c r="A177" s="72"/>
      <c r="B177" s="24"/>
      <c r="C177" s="24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1"/>
    </row>
    <row r="178" ht="75.0" customHeight="1">
      <c r="A178" s="71"/>
      <c r="B178" s="24"/>
      <c r="C178" s="24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1"/>
    </row>
    <row r="179" ht="75.0" customHeight="1">
      <c r="A179" s="72"/>
      <c r="B179" s="24"/>
      <c r="C179" s="24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1"/>
    </row>
    <row r="180" ht="75.0" customHeight="1">
      <c r="A180" s="71"/>
      <c r="B180" s="24"/>
      <c r="C180" s="24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1"/>
    </row>
    <row r="181" ht="75.0" customHeight="1">
      <c r="A181" s="72"/>
      <c r="B181" s="24"/>
      <c r="C181" s="24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1"/>
    </row>
    <row r="182" ht="75.0" customHeight="1">
      <c r="A182" s="71"/>
      <c r="B182" s="24"/>
      <c r="C182" s="24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1"/>
    </row>
    <row r="183" ht="75.0" customHeight="1">
      <c r="A183" s="72"/>
      <c r="B183" s="24"/>
      <c r="C183" s="24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1"/>
    </row>
    <row r="184" ht="75.0" customHeight="1">
      <c r="A184" s="71"/>
      <c r="B184" s="24"/>
      <c r="C184" s="24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1"/>
    </row>
    <row r="185" ht="75.0" customHeight="1">
      <c r="A185" s="72"/>
      <c r="B185" s="24"/>
      <c r="C185" s="24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1"/>
    </row>
    <row r="186" ht="75.0" customHeight="1">
      <c r="A186" s="71"/>
      <c r="B186" s="24"/>
      <c r="C186" s="24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1"/>
    </row>
    <row r="187" ht="75.0" customHeight="1">
      <c r="A187" s="72"/>
      <c r="B187" s="24"/>
      <c r="C187" s="24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1"/>
    </row>
    <row r="188" ht="75.0" customHeight="1">
      <c r="A188" s="71"/>
      <c r="B188" s="24"/>
      <c r="C188" s="24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1"/>
    </row>
    <row r="189" ht="75.0" customHeight="1">
      <c r="A189" s="72"/>
      <c r="B189" s="24"/>
      <c r="C189" s="24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1"/>
    </row>
    <row r="190" ht="75.0" customHeight="1">
      <c r="A190" s="71"/>
      <c r="B190" s="24"/>
      <c r="C190" s="24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1"/>
    </row>
    <row r="191" ht="75.0" customHeight="1">
      <c r="A191" s="72"/>
      <c r="B191" s="24"/>
      <c r="C191" s="24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1"/>
    </row>
    <row r="192" ht="75.0" customHeight="1">
      <c r="A192" s="71"/>
      <c r="B192" s="24"/>
      <c r="C192" s="24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1"/>
    </row>
    <row r="193" ht="75.0" customHeight="1">
      <c r="A193" s="72"/>
      <c r="B193" s="24"/>
      <c r="C193" s="24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1"/>
    </row>
    <row r="194" ht="75.0" customHeight="1">
      <c r="A194" s="71"/>
      <c r="B194" s="24"/>
      <c r="C194" s="24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1"/>
    </row>
    <row r="195" ht="75.0" customHeight="1">
      <c r="A195" s="72"/>
      <c r="B195" s="24"/>
      <c r="C195" s="24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1"/>
    </row>
    <row r="196" ht="75.0" customHeight="1">
      <c r="A196" s="71"/>
      <c r="B196" s="24"/>
      <c r="C196" s="24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1"/>
    </row>
    <row r="197" ht="75.0" customHeight="1">
      <c r="A197" s="72"/>
      <c r="B197" s="24"/>
      <c r="C197" s="24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1"/>
    </row>
    <row r="198" ht="75.0" customHeight="1">
      <c r="A198" s="71"/>
      <c r="B198" s="24"/>
      <c r="C198" s="24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1"/>
    </row>
    <row r="199" ht="75.0" customHeight="1">
      <c r="A199" s="72"/>
      <c r="B199" s="24"/>
      <c r="C199" s="24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1"/>
    </row>
    <row r="200" ht="75.0" customHeight="1">
      <c r="A200" s="71"/>
      <c r="B200" s="24"/>
      <c r="C200" s="24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1"/>
    </row>
    <row r="201" ht="75.0" customHeight="1">
      <c r="A201" s="72"/>
      <c r="B201" s="24"/>
      <c r="C201" s="24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1"/>
    </row>
    <row r="202" ht="75.0" customHeight="1">
      <c r="A202" s="71"/>
      <c r="B202" s="24"/>
      <c r="C202" s="24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1"/>
    </row>
    <row r="203" ht="75.0" customHeight="1">
      <c r="A203" s="72"/>
      <c r="B203" s="24"/>
      <c r="C203" s="24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1"/>
    </row>
    <row r="204" ht="75.0" customHeight="1">
      <c r="A204" s="71"/>
      <c r="B204" s="24"/>
      <c r="C204" s="24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1"/>
    </row>
    <row r="205" ht="75.0" customHeight="1">
      <c r="A205" s="72"/>
      <c r="B205" s="24"/>
      <c r="C205" s="24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1"/>
    </row>
    <row r="206" ht="75.0" customHeight="1">
      <c r="A206" s="71"/>
      <c r="B206" s="24"/>
      <c r="C206" s="24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1"/>
    </row>
    <row r="207" ht="75.0" customHeight="1">
      <c r="A207" s="72"/>
      <c r="B207" s="24"/>
      <c r="C207" s="24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1"/>
    </row>
    <row r="208" ht="75.0" customHeight="1">
      <c r="A208" s="71"/>
      <c r="B208" s="24"/>
      <c r="C208" s="24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1"/>
    </row>
    <row r="209" ht="75.0" customHeight="1">
      <c r="A209" s="72"/>
      <c r="B209" s="24"/>
      <c r="C209" s="24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1"/>
    </row>
    <row r="210" ht="75.0" customHeight="1">
      <c r="A210" s="71"/>
      <c r="B210" s="24"/>
      <c r="C210" s="24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1"/>
    </row>
    <row r="211" ht="75.0" customHeight="1">
      <c r="A211" s="72"/>
      <c r="B211" s="24"/>
      <c r="C211" s="24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1"/>
    </row>
    <row r="212" ht="75.0" customHeight="1">
      <c r="A212" s="71"/>
      <c r="B212" s="24"/>
      <c r="C212" s="24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1"/>
    </row>
    <row r="213" ht="75.0" customHeight="1">
      <c r="A213" s="72"/>
      <c r="B213" s="24"/>
      <c r="C213" s="24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1"/>
    </row>
    <row r="214" ht="75.0" customHeight="1">
      <c r="A214" s="71"/>
      <c r="B214" s="24"/>
      <c r="C214" s="24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1"/>
    </row>
    <row r="215" ht="75.0" customHeight="1">
      <c r="A215" s="72"/>
      <c r="B215" s="24"/>
      <c r="C215" s="24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1"/>
    </row>
    <row r="216" ht="75.0" customHeight="1">
      <c r="A216" s="71"/>
      <c r="B216" s="24"/>
      <c r="C216" s="24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1"/>
    </row>
    <row r="217" ht="75.0" customHeight="1">
      <c r="A217" s="72"/>
      <c r="B217" s="24"/>
      <c r="C217" s="24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1"/>
    </row>
    <row r="218" ht="75.0" customHeight="1">
      <c r="A218" s="71"/>
      <c r="B218" s="24"/>
      <c r="C218" s="24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">
    <mergeCell ref="A16:X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14.0"/>
    <col customWidth="1" min="5" max="5" width="16.0"/>
    <col customWidth="1" min="6" max="6" width="18.0"/>
    <col customWidth="1" min="7" max="7" width="3.0"/>
    <col customWidth="1" min="8" max="8" width="5.0"/>
    <col customWidth="1" min="9" max="9" width="60.0"/>
    <col customWidth="1" min="10" max="10" width="12.0"/>
    <col customWidth="1" min="11" max="11" width="14.0"/>
    <col customWidth="1" min="12" max="12" width="16.0"/>
    <col customWidth="1" min="13" max="13" width="18.0"/>
    <col customWidth="1" min="14" max="14" width="3.0"/>
    <col customWidth="1" min="15" max="15" width="22.0"/>
    <col customWidth="1" min="16" max="16" width="24.0"/>
  </cols>
  <sheetData>
    <row r="1">
      <c r="A1" s="3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 t="s">
        <v>21</v>
      </c>
      <c r="B4" s="12"/>
      <c r="C4" s="12"/>
      <c r="D4" s="12"/>
      <c r="E4" s="12"/>
      <c r="F4" s="13"/>
      <c r="G4" s="1"/>
      <c r="H4" s="18" t="s">
        <v>30</v>
      </c>
      <c r="I4" s="12"/>
      <c r="J4" s="12"/>
      <c r="K4" s="12"/>
      <c r="L4" s="12"/>
      <c r="M4" s="13"/>
      <c r="N4" s="1"/>
      <c r="O4" s="21" t="s">
        <v>44</v>
      </c>
      <c r="P4" s="13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48</v>
      </c>
      <c r="B5" s="7" t="s">
        <v>49</v>
      </c>
      <c r="C5" s="7" t="s">
        <v>50</v>
      </c>
      <c r="D5" s="7" t="s">
        <v>52</v>
      </c>
      <c r="E5" s="7" t="s">
        <v>53</v>
      </c>
      <c r="F5" s="7" t="s">
        <v>54</v>
      </c>
      <c r="G5" s="1"/>
      <c r="H5" s="26" t="s">
        <v>48</v>
      </c>
      <c r="I5" s="26" t="s">
        <v>57</v>
      </c>
      <c r="J5" s="26" t="s">
        <v>50</v>
      </c>
      <c r="K5" s="26" t="s">
        <v>52</v>
      </c>
      <c r="L5" s="26" t="s">
        <v>53</v>
      </c>
      <c r="M5" s="26" t="s">
        <v>54</v>
      </c>
      <c r="N5" s="1"/>
      <c r="O5" s="28" t="s">
        <v>65</v>
      </c>
      <c r="P5" s="28" t="s">
        <v>69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29" t="s">
        <v>74</v>
      </c>
      <c r="B6" s="12"/>
      <c r="C6" s="12"/>
      <c r="D6" s="12"/>
      <c r="E6" s="12"/>
      <c r="F6" s="13"/>
      <c r="G6" s="1"/>
      <c r="H6" s="30" t="s">
        <v>74</v>
      </c>
      <c r="I6" s="12"/>
      <c r="J6" s="12"/>
      <c r="K6" s="12"/>
      <c r="L6" s="12"/>
      <c r="M6" s="13"/>
      <c r="N6" s="1"/>
      <c r="O6" s="32" t="s">
        <v>87</v>
      </c>
      <c r="P6" s="13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34">
        <v>1.0</v>
      </c>
      <c r="B7" s="35" t="s">
        <v>96</v>
      </c>
      <c r="C7" s="34" t="s">
        <v>99</v>
      </c>
      <c r="D7" s="36" t="s">
        <v>101</v>
      </c>
      <c r="E7" s="37">
        <v>350000.0</v>
      </c>
      <c r="F7" s="37">
        <f t="shared" ref="F7:F11" si="2">E7*10</f>
        <v>3500000</v>
      </c>
      <c r="G7" s="1"/>
      <c r="H7" s="38">
        <v>1.0</v>
      </c>
      <c r="I7" s="39" t="s">
        <v>96</v>
      </c>
      <c r="J7" s="38" t="s">
        <v>99</v>
      </c>
      <c r="K7" s="40" t="s">
        <v>101</v>
      </c>
      <c r="L7" s="41">
        <v>350000.0</v>
      </c>
      <c r="M7" s="41">
        <f t="shared" ref="M7:M11" si="3">L7*10</f>
        <v>3500000</v>
      </c>
      <c r="N7" s="1"/>
      <c r="O7" s="42">
        <f t="shared" ref="O7:P7" si="1">E7-L7</f>
        <v>0</v>
      </c>
      <c r="P7" s="42">
        <f t="shared" si="1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34">
        <v>2.0</v>
      </c>
      <c r="B8" s="35" t="s">
        <v>139</v>
      </c>
      <c r="C8" s="34" t="s">
        <v>141</v>
      </c>
      <c r="D8" s="36" t="s">
        <v>143</v>
      </c>
      <c r="E8" s="37">
        <v>270000.0</v>
      </c>
      <c r="F8" s="37">
        <f t="shared" si="2"/>
        <v>2700000</v>
      </c>
      <c r="G8" s="1"/>
      <c r="H8" s="38">
        <v>2.0</v>
      </c>
      <c r="I8" s="39" t="s">
        <v>139</v>
      </c>
      <c r="J8" s="38" t="s">
        <v>141</v>
      </c>
      <c r="K8" s="40" t="s">
        <v>143</v>
      </c>
      <c r="L8" s="41">
        <v>270000.0</v>
      </c>
      <c r="M8" s="41">
        <f t="shared" si="3"/>
        <v>2700000</v>
      </c>
      <c r="N8" s="1"/>
      <c r="O8" s="42">
        <f t="shared" ref="O8:P8" si="4">E8-L8</f>
        <v>0</v>
      </c>
      <c r="P8" s="42">
        <f t="shared" si="4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34">
        <v>3.0</v>
      </c>
      <c r="B9" s="35" t="s">
        <v>163</v>
      </c>
      <c r="C9" s="34" t="s">
        <v>165</v>
      </c>
      <c r="D9" s="36" t="s">
        <v>167</v>
      </c>
      <c r="E9" s="37">
        <v>15000.0</v>
      </c>
      <c r="F9" s="37">
        <f t="shared" si="2"/>
        <v>150000</v>
      </c>
      <c r="G9" s="1"/>
      <c r="H9" s="38">
        <v>3.0</v>
      </c>
      <c r="I9" s="39" t="s">
        <v>163</v>
      </c>
      <c r="J9" s="38" t="s">
        <v>165</v>
      </c>
      <c r="K9" s="40" t="s">
        <v>167</v>
      </c>
      <c r="L9" s="41">
        <v>15000.0</v>
      </c>
      <c r="M9" s="41">
        <f t="shared" si="3"/>
        <v>150000</v>
      </c>
      <c r="N9" s="1"/>
      <c r="O9" s="42">
        <f t="shared" ref="O9:P9" si="5">E9-L9</f>
        <v>0</v>
      </c>
      <c r="P9" s="42">
        <f t="shared" si="5"/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34">
        <v>4.0</v>
      </c>
      <c r="B10" s="35" t="s">
        <v>182</v>
      </c>
      <c r="C10" s="34" t="s">
        <v>184</v>
      </c>
      <c r="D10" s="36" t="s">
        <v>185</v>
      </c>
      <c r="E10" s="37">
        <v>35000.0</v>
      </c>
      <c r="F10" s="37">
        <f t="shared" si="2"/>
        <v>350000</v>
      </c>
      <c r="G10" s="1"/>
      <c r="H10" s="38">
        <v>4.0</v>
      </c>
      <c r="I10" s="39" t="s">
        <v>182</v>
      </c>
      <c r="J10" s="38" t="s">
        <v>184</v>
      </c>
      <c r="K10" s="40" t="s">
        <v>185</v>
      </c>
      <c r="L10" s="41">
        <v>35000.0</v>
      </c>
      <c r="M10" s="41">
        <f t="shared" si="3"/>
        <v>350000</v>
      </c>
      <c r="N10" s="1"/>
      <c r="O10" s="42">
        <f t="shared" ref="O10:P10" si="6">E10-L10</f>
        <v>0</v>
      </c>
      <c r="P10" s="42">
        <f t="shared" si="6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34">
        <v>5.0</v>
      </c>
      <c r="B11" s="35" t="s">
        <v>199</v>
      </c>
      <c r="C11" s="34" t="s">
        <v>201</v>
      </c>
      <c r="D11" s="36" t="s">
        <v>203</v>
      </c>
      <c r="E11" s="37">
        <v>38000.0</v>
      </c>
      <c r="F11" s="37">
        <f t="shared" si="2"/>
        <v>380000</v>
      </c>
      <c r="G11" s="1"/>
      <c r="H11" s="38">
        <v>5.0</v>
      </c>
      <c r="I11" s="39" t="s">
        <v>199</v>
      </c>
      <c r="J11" s="38" t="s">
        <v>201</v>
      </c>
      <c r="K11" s="40" t="s">
        <v>203</v>
      </c>
      <c r="L11" s="41">
        <v>38000.0</v>
      </c>
      <c r="M11" s="41">
        <f t="shared" si="3"/>
        <v>380000</v>
      </c>
      <c r="N11" s="1"/>
      <c r="O11" s="42">
        <f t="shared" ref="O11:P11" si="7">E11-L11</f>
        <v>0</v>
      </c>
      <c r="P11" s="42">
        <f t="shared" si="7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52"/>
      <c r="B12" s="52" t="s">
        <v>220</v>
      </c>
      <c r="C12" s="52"/>
      <c r="D12" s="52"/>
      <c r="E12" s="53">
        <f t="shared" ref="E12:F12" si="8">SUM(E7:E11)</f>
        <v>708000</v>
      </c>
      <c r="F12" s="53">
        <f t="shared" si="8"/>
        <v>7080000</v>
      </c>
      <c r="G12" s="1"/>
      <c r="H12" s="54"/>
      <c r="I12" s="54" t="s">
        <v>220</v>
      </c>
      <c r="J12" s="54"/>
      <c r="K12" s="54"/>
      <c r="L12" s="55">
        <f t="shared" ref="L12:M12" si="9">SUM(L7:L11)</f>
        <v>708000</v>
      </c>
      <c r="M12" s="55">
        <f t="shared" si="9"/>
        <v>7080000</v>
      </c>
      <c r="N12" s="1"/>
      <c r="O12" s="56">
        <f t="shared" ref="O12:P12" si="10">E12-L12</f>
        <v>0</v>
      </c>
      <c r="P12" s="56">
        <f t="shared" si="10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29" t="s">
        <v>240</v>
      </c>
      <c r="B13" s="12"/>
      <c r="C13" s="12"/>
      <c r="D13" s="12"/>
      <c r="E13" s="12"/>
      <c r="F13" s="13"/>
      <c r="G13" s="1"/>
      <c r="H13" s="30" t="s">
        <v>240</v>
      </c>
      <c r="I13" s="12"/>
      <c r="J13" s="12"/>
      <c r="K13" s="12"/>
      <c r="L13" s="12"/>
      <c r="M13" s="13"/>
      <c r="N13" s="1"/>
      <c r="O13" s="32" t="s">
        <v>87</v>
      </c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34">
        <v>6.0</v>
      </c>
      <c r="B14" s="35" t="s">
        <v>253</v>
      </c>
      <c r="C14" s="34" t="s">
        <v>254</v>
      </c>
      <c r="D14" s="36" t="s">
        <v>256</v>
      </c>
      <c r="E14" s="37">
        <v>155000.0</v>
      </c>
      <c r="F14" s="37">
        <f t="shared" ref="F14:F16" si="12">E14*10</f>
        <v>1550000</v>
      </c>
      <c r="G14" s="1"/>
      <c r="H14" s="57">
        <v>6.0</v>
      </c>
      <c r="I14" s="58" t="s">
        <v>267</v>
      </c>
      <c r="J14" s="57" t="s">
        <v>269</v>
      </c>
      <c r="K14" s="59" t="s">
        <v>256</v>
      </c>
      <c r="L14" s="60">
        <v>93000.0</v>
      </c>
      <c r="M14" s="60">
        <f t="shared" ref="M14:M16" si="13">L14*10</f>
        <v>930000</v>
      </c>
      <c r="N14" s="1"/>
      <c r="O14" s="42">
        <f t="shared" ref="O14:P14" si="11">E14-L14</f>
        <v>62000</v>
      </c>
      <c r="P14" s="42">
        <f t="shared" si="11"/>
        <v>620000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34">
        <v>7.0</v>
      </c>
      <c r="B15" s="35" t="s">
        <v>287</v>
      </c>
      <c r="C15" s="34" t="s">
        <v>289</v>
      </c>
      <c r="D15" s="36" t="s">
        <v>290</v>
      </c>
      <c r="E15" s="37">
        <v>65000.0</v>
      </c>
      <c r="F15" s="37">
        <f t="shared" si="12"/>
        <v>650000</v>
      </c>
      <c r="G15" s="1"/>
      <c r="H15" s="57">
        <v>7.0</v>
      </c>
      <c r="I15" s="58" t="s">
        <v>296</v>
      </c>
      <c r="J15" s="57" t="s">
        <v>289</v>
      </c>
      <c r="K15" s="59" t="s">
        <v>299</v>
      </c>
      <c r="L15" s="60">
        <v>53450.0</v>
      </c>
      <c r="M15" s="60">
        <f t="shared" si="13"/>
        <v>534500</v>
      </c>
      <c r="N15" s="1"/>
      <c r="O15" s="42">
        <f t="shared" ref="O15:P15" si="14">E15-L15</f>
        <v>11550</v>
      </c>
      <c r="P15" s="42">
        <f t="shared" si="14"/>
        <v>115500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34">
        <v>8.0</v>
      </c>
      <c r="B16" s="35" t="s">
        <v>312</v>
      </c>
      <c r="C16" s="34" t="s">
        <v>99</v>
      </c>
      <c r="D16" s="36" t="s">
        <v>315</v>
      </c>
      <c r="E16" s="37">
        <v>55000.0</v>
      </c>
      <c r="F16" s="37">
        <f t="shared" si="12"/>
        <v>550000</v>
      </c>
      <c r="G16" s="1"/>
      <c r="H16" s="38">
        <v>8.0</v>
      </c>
      <c r="I16" s="39" t="s">
        <v>312</v>
      </c>
      <c r="J16" s="38" t="s">
        <v>99</v>
      </c>
      <c r="K16" s="40" t="s">
        <v>315</v>
      </c>
      <c r="L16" s="41">
        <v>55000.0</v>
      </c>
      <c r="M16" s="41">
        <f t="shared" si="13"/>
        <v>550000</v>
      </c>
      <c r="N16" s="1"/>
      <c r="O16" s="42">
        <f t="shared" ref="O16:P16" si="15">E16-L16</f>
        <v>0</v>
      </c>
      <c r="P16" s="42">
        <f t="shared" si="15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52"/>
      <c r="B17" s="52" t="s">
        <v>330</v>
      </c>
      <c r="C17" s="52"/>
      <c r="D17" s="52"/>
      <c r="E17" s="53">
        <f t="shared" ref="E17:F17" si="16">SUM(E14:E16)</f>
        <v>275000</v>
      </c>
      <c r="F17" s="53">
        <f t="shared" si="16"/>
        <v>2750000</v>
      </c>
      <c r="G17" s="1"/>
      <c r="H17" s="54"/>
      <c r="I17" s="54" t="s">
        <v>330</v>
      </c>
      <c r="J17" s="54"/>
      <c r="K17" s="54"/>
      <c r="L17" s="55">
        <f t="shared" ref="L17:M17" si="17">SUM(L14:L16)</f>
        <v>201450</v>
      </c>
      <c r="M17" s="55">
        <f t="shared" si="17"/>
        <v>2014500</v>
      </c>
      <c r="N17" s="1"/>
      <c r="O17" s="56">
        <f t="shared" ref="O17:P17" si="18">E17-L17</f>
        <v>73550</v>
      </c>
      <c r="P17" s="56">
        <f t="shared" si="18"/>
        <v>735500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29" t="s">
        <v>350</v>
      </c>
      <c r="B18" s="12"/>
      <c r="C18" s="12"/>
      <c r="D18" s="12"/>
      <c r="E18" s="12"/>
      <c r="F18" s="13"/>
      <c r="G18" s="1"/>
      <c r="H18" s="30" t="s">
        <v>350</v>
      </c>
      <c r="I18" s="12"/>
      <c r="J18" s="12"/>
      <c r="K18" s="12"/>
      <c r="L18" s="12"/>
      <c r="M18" s="13"/>
      <c r="N18" s="1"/>
      <c r="O18" s="32" t="s">
        <v>87</v>
      </c>
      <c r="P18" s="1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34">
        <v>9.0</v>
      </c>
      <c r="B19" s="35" t="s">
        <v>369</v>
      </c>
      <c r="C19" s="34" t="s">
        <v>141</v>
      </c>
      <c r="D19" s="36" t="s">
        <v>372</v>
      </c>
      <c r="E19" s="37">
        <v>228000.0</v>
      </c>
      <c r="F19" s="37">
        <f t="shared" ref="F19:F21" si="20">E19*10</f>
        <v>2280000</v>
      </c>
      <c r="G19" s="1"/>
      <c r="H19" s="57">
        <v>9.0</v>
      </c>
      <c r="I19" s="58" t="s">
        <v>381</v>
      </c>
      <c r="J19" s="57" t="s">
        <v>382</v>
      </c>
      <c r="K19" s="59" t="s">
        <v>372</v>
      </c>
      <c r="L19" s="60">
        <v>136800.0</v>
      </c>
      <c r="M19" s="60">
        <f t="shared" ref="M19:M21" si="21">L19*10</f>
        <v>1368000</v>
      </c>
      <c r="N19" s="1"/>
      <c r="O19" s="42">
        <f t="shared" ref="O19:P19" si="19">E19-L19</f>
        <v>91200</v>
      </c>
      <c r="P19" s="42">
        <f t="shared" si="19"/>
        <v>912000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34">
        <v>10.0</v>
      </c>
      <c r="B20" s="35" t="s">
        <v>400</v>
      </c>
      <c r="C20" s="34" t="s">
        <v>289</v>
      </c>
      <c r="D20" s="36" t="s">
        <v>404</v>
      </c>
      <c r="E20" s="37">
        <v>85000.0</v>
      </c>
      <c r="F20" s="37">
        <f t="shared" si="20"/>
        <v>850000</v>
      </c>
      <c r="G20" s="1"/>
      <c r="H20" s="57">
        <v>10.0</v>
      </c>
      <c r="I20" s="58" t="s">
        <v>410</v>
      </c>
      <c r="J20" s="57" t="s">
        <v>289</v>
      </c>
      <c r="K20" s="59" t="s">
        <v>413</v>
      </c>
      <c r="L20" s="60">
        <v>73450.0</v>
      </c>
      <c r="M20" s="60">
        <f t="shared" si="21"/>
        <v>734500</v>
      </c>
      <c r="N20" s="1"/>
      <c r="O20" s="42">
        <f t="shared" ref="O20:P20" si="22">E20-L20</f>
        <v>11550</v>
      </c>
      <c r="P20" s="42">
        <f t="shared" si="22"/>
        <v>115500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34">
        <v>11.0</v>
      </c>
      <c r="B21" s="35" t="s">
        <v>418</v>
      </c>
      <c r="C21" s="34" t="s">
        <v>99</v>
      </c>
      <c r="D21" s="36" t="s">
        <v>315</v>
      </c>
      <c r="E21" s="37">
        <v>55000.0</v>
      </c>
      <c r="F21" s="37">
        <f t="shared" si="20"/>
        <v>550000</v>
      </c>
      <c r="G21" s="1"/>
      <c r="H21" s="38">
        <v>11.0</v>
      </c>
      <c r="I21" s="39" t="s">
        <v>418</v>
      </c>
      <c r="J21" s="38" t="s">
        <v>99</v>
      </c>
      <c r="K21" s="40" t="s">
        <v>315</v>
      </c>
      <c r="L21" s="41">
        <v>55000.0</v>
      </c>
      <c r="M21" s="41">
        <f t="shared" si="21"/>
        <v>550000</v>
      </c>
      <c r="N21" s="1"/>
      <c r="O21" s="42">
        <f t="shared" ref="O21:P21" si="23">E21-L21</f>
        <v>0</v>
      </c>
      <c r="P21" s="42">
        <f t="shared" si="23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52"/>
      <c r="B22" s="52" t="s">
        <v>419</v>
      </c>
      <c r="C22" s="52"/>
      <c r="D22" s="52"/>
      <c r="E22" s="53">
        <f t="shared" ref="E22:F22" si="24">SUM(E19:E21)</f>
        <v>368000</v>
      </c>
      <c r="F22" s="53">
        <f t="shared" si="24"/>
        <v>3680000</v>
      </c>
      <c r="G22" s="1"/>
      <c r="H22" s="54"/>
      <c r="I22" s="54" t="s">
        <v>419</v>
      </c>
      <c r="J22" s="54"/>
      <c r="K22" s="54"/>
      <c r="L22" s="55">
        <f t="shared" ref="L22:M22" si="25">SUM(L19:L21)</f>
        <v>265250</v>
      </c>
      <c r="M22" s="55">
        <f t="shared" si="25"/>
        <v>2652500</v>
      </c>
      <c r="N22" s="1"/>
      <c r="O22" s="56">
        <f t="shared" ref="O22:P22" si="26">E22-L22</f>
        <v>102750</v>
      </c>
      <c r="P22" s="56">
        <f t="shared" si="26"/>
        <v>1027500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29" t="s">
        <v>420</v>
      </c>
      <c r="B23" s="12"/>
      <c r="C23" s="12"/>
      <c r="D23" s="12"/>
      <c r="E23" s="12"/>
      <c r="F23" s="13"/>
      <c r="G23" s="1"/>
      <c r="H23" s="30" t="s">
        <v>420</v>
      </c>
      <c r="I23" s="12"/>
      <c r="J23" s="12"/>
      <c r="K23" s="12"/>
      <c r="L23" s="12"/>
      <c r="M23" s="13"/>
      <c r="N23" s="1"/>
      <c r="O23" s="32" t="s">
        <v>87</v>
      </c>
      <c r="P23" s="1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34">
        <v>12.0</v>
      </c>
      <c r="B24" s="35" t="s">
        <v>421</v>
      </c>
      <c r="C24" s="34" t="s">
        <v>422</v>
      </c>
      <c r="D24" s="36" t="s">
        <v>423</v>
      </c>
      <c r="E24" s="37">
        <v>190000.0</v>
      </c>
      <c r="F24" s="37">
        <f t="shared" ref="F24:F26" si="28">E24*10</f>
        <v>1900000</v>
      </c>
      <c r="G24" s="1"/>
      <c r="H24" s="57">
        <v>12.0</v>
      </c>
      <c r="I24" s="58" t="s">
        <v>424</v>
      </c>
      <c r="J24" s="57" t="s">
        <v>425</v>
      </c>
      <c r="K24" s="59" t="s">
        <v>423</v>
      </c>
      <c r="L24" s="60">
        <v>94900.0</v>
      </c>
      <c r="M24" s="60">
        <f t="shared" ref="M24:M26" si="29">L24*10</f>
        <v>949000</v>
      </c>
      <c r="N24" s="1"/>
      <c r="O24" s="42">
        <f t="shared" ref="O24:P24" si="27">E24-L24</f>
        <v>95100</v>
      </c>
      <c r="P24" s="42">
        <f t="shared" si="27"/>
        <v>951000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34">
        <v>13.0</v>
      </c>
      <c r="B25" s="35" t="s">
        <v>426</v>
      </c>
      <c r="C25" s="34" t="s">
        <v>289</v>
      </c>
      <c r="D25" s="36" t="s">
        <v>427</v>
      </c>
      <c r="E25" s="37">
        <v>75000.0</v>
      </c>
      <c r="F25" s="37">
        <f t="shared" si="28"/>
        <v>750000</v>
      </c>
      <c r="G25" s="1"/>
      <c r="H25" s="57">
        <v>13.0</v>
      </c>
      <c r="I25" s="58" t="s">
        <v>428</v>
      </c>
      <c r="J25" s="57" t="s">
        <v>289</v>
      </c>
      <c r="K25" s="59" t="s">
        <v>429</v>
      </c>
      <c r="L25" s="60">
        <v>43450.0</v>
      </c>
      <c r="M25" s="60">
        <f t="shared" si="29"/>
        <v>434500</v>
      </c>
      <c r="N25" s="1"/>
      <c r="O25" s="42">
        <f t="shared" ref="O25:P25" si="30">E25-L25</f>
        <v>31550</v>
      </c>
      <c r="P25" s="42">
        <f t="shared" si="30"/>
        <v>315500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34">
        <v>14.0</v>
      </c>
      <c r="B26" s="35" t="s">
        <v>430</v>
      </c>
      <c r="C26" s="34" t="s">
        <v>99</v>
      </c>
      <c r="D26" s="36" t="s">
        <v>315</v>
      </c>
      <c r="E26" s="37">
        <v>55000.0</v>
      </c>
      <c r="F26" s="37">
        <f t="shared" si="28"/>
        <v>550000</v>
      </c>
      <c r="G26" s="1"/>
      <c r="H26" s="38">
        <v>14.0</v>
      </c>
      <c r="I26" s="39" t="s">
        <v>430</v>
      </c>
      <c r="J26" s="38" t="s">
        <v>99</v>
      </c>
      <c r="K26" s="40" t="s">
        <v>315</v>
      </c>
      <c r="L26" s="41">
        <v>55000.0</v>
      </c>
      <c r="M26" s="41">
        <f t="shared" si="29"/>
        <v>550000</v>
      </c>
      <c r="N26" s="1"/>
      <c r="O26" s="42">
        <f t="shared" ref="O26:P26" si="31">E26-L26</f>
        <v>0</v>
      </c>
      <c r="P26" s="42">
        <f t="shared" si="31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52"/>
      <c r="B27" s="52" t="s">
        <v>431</v>
      </c>
      <c r="C27" s="52"/>
      <c r="D27" s="52"/>
      <c r="E27" s="53">
        <f t="shared" ref="E27:F27" si="32">SUM(E24:E26)</f>
        <v>320000</v>
      </c>
      <c r="F27" s="53">
        <f t="shared" si="32"/>
        <v>3200000</v>
      </c>
      <c r="G27" s="1"/>
      <c r="H27" s="54"/>
      <c r="I27" s="54" t="s">
        <v>431</v>
      </c>
      <c r="J27" s="54"/>
      <c r="K27" s="54"/>
      <c r="L27" s="55">
        <f t="shared" ref="L27:M27" si="33">SUM(L24:L26)</f>
        <v>193350</v>
      </c>
      <c r="M27" s="55">
        <f t="shared" si="33"/>
        <v>1933500</v>
      </c>
      <c r="N27" s="1"/>
      <c r="O27" s="56">
        <f t="shared" ref="O27:P27" si="34">E27-L27</f>
        <v>126650</v>
      </c>
      <c r="P27" s="56">
        <f t="shared" si="34"/>
        <v>1266500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29" t="s">
        <v>432</v>
      </c>
      <c r="B28" s="12"/>
      <c r="C28" s="12"/>
      <c r="D28" s="12"/>
      <c r="E28" s="12"/>
      <c r="F28" s="13"/>
      <c r="G28" s="1"/>
      <c r="H28" s="30" t="s">
        <v>432</v>
      </c>
      <c r="I28" s="12"/>
      <c r="J28" s="12"/>
      <c r="K28" s="12"/>
      <c r="L28" s="12"/>
      <c r="M28" s="13"/>
      <c r="N28" s="1"/>
      <c r="O28" s="32" t="s">
        <v>87</v>
      </c>
      <c r="P28" s="1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34">
        <v>15.0</v>
      </c>
      <c r="B29" s="35" t="s">
        <v>433</v>
      </c>
      <c r="C29" s="34" t="s">
        <v>289</v>
      </c>
      <c r="D29" s="36" t="s">
        <v>434</v>
      </c>
      <c r="E29" s="37">
        <v>120000.0</v>
      </c>
      <c r="F29" s="37">
        <f t="shared" ref="F29:F30" si="36">E29*10</f>
        <v>1200000</v>
      </c>
      <c r="G29" s="1"/>
      <c r="H29" s="57">
        <v>15.0</v>
      </c>
      <c r="I29" s="58" t="s">
        <v>435</v>
      </c>
      <c r="J29" s="57" t="s">
        <v>289</v>
      </c>
      <c r="K29" s="59" t="s">
        <v>436</v>
      </c>
      <c r="L29" s="60">
        <v>51250.0</v>
      </c>
      <c r="M29" s="60">
        <f t="shared" ref="M29:M30" si="37">L29*10</f>
        <v>512500</v>
      </c>
      <c r="N29" s="1"/>
      <c r="O29" s="42">
        <f t="shared" ref="O29:P29" si="35">E29-L29</f>
        <v>68750</v>
      </c>
      <c r="P29" s="42">
        <f t="shared" si="35"/>
        <v>687500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34">
        <v>16.0</v>
      </c>
      <c r="B30" s="35" t="s">
        <v>437</v>
      </c>
      <c r="C30" s="34" t="s">
        <v>289</v>
      </c>
      <c r="D30" s="36" t="s">
        <v>438</v>
      </c>
      <c r="E30" s="37">
        <v>20000.0</v>
      </c>
      <c r="F30" s="37">
        <f t="shared" si="36"/>
        <v>200000</v>
      </c>
      <c r="G30" s="1"/>
      <c r="H30" s="38">
        <v>16.0</v>
      </c>
      <c r="I30" s="39" t="s">
        <v>437</v>
      </c>
      <c r="J30" s="38" t="s">
        <v>289</v>
      </c>
      <c r="K30" s="40" t="s">
        <v>438</v>
      </c>
      <c r="L30" s="41">
        <v>20000.0</v>
      </c>
      <c r="M30" s="41">
        <f t="shared" si="37"/>
        <v>200000</v>
      </c>
      <c r="N30" s="1"/>
      <c r="O30" s="42">
        <f t="shared" ref="O30:P30" si="38">E30-L30</f>
        <v>0</v>
      </c>
      <c r="P30" s="42">
        <f t="shared" si="38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52"/>
      <c r="B31" s="52" t="s">
        <v>439</v>
      </c>
      <c r="C31" s="52"/>
      <c r="D31" s="52"/>
      <c r="E31" s="53">
        <f t="shared" ref="E31:F31" si="39">SUM(E29:E30)</f>
        <v>140000</v>
      </c>
      <c r="F31" s="53">
        <f t="shared" si="39"/>
        <v>1400000</v>
      </c>
      <c r="G31" s="1"/>
      <c r="H31" s="54"/>
      <c r="I31" s="54" t="s">
        <v>439</v>
      </c>
      <c r="J31" s="54"/>
      <c r="K31" s="54"/>
      <c r="L31" s="55">
        <f t="shared" ref="L31:M31" si="40">SUM(L29:L30)</f>
        <v>71250</v>
      </c>
      <c r="M31" s="55">
        <f t="shared" si="40"/>
        <v>712500</v>
      </c>
      <c r="N31" s="1"/>
      <c r="O31" s="56">
        <f t="shared" ref="O31:P31" si="41">E31-L31</f>
        <v>68750</v>
      </c>
      <c r="P31" s="56">
        <f t="shared" si="41"/>
        <v>687500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29" t="s">
        <v>440</v>
      </c>
      <c r="B32" s="12"/>
      <c r="C32" s="12"/>
      <c r="D32" s="12"/>
      <c r="E32" s="12"/>
      <c r="F32" s="13"/>
      <c r="G32" s="1"/>
      <c r="H32" s="30" t="s">
        <v>440</v>
      </c>
      <c r="I32" s="12"/>
      <c r="J32" s="12"/>
      <c r="K32" s="12"/>
      <c r="L32" s="12"/>
      <c r="M32" s="13"/>
      <c r="N32" s="1"/>
      <c r="O32" s="32" t="s">
        <v>87</v>
      </c>
      <c r="P32" s="1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34">
        <v>17.0</v>
      </c>
      <c r="B33" s="35" t="s">
        <v>441</v>
      </c>
      <c r="C33" s="34" t="s">
        <v>289</v>
      </c>
      <c r="D33" s="36" t="s">
        <v>442</v>
      </c>
      <c r="E33" s="37">
        <v>150000.0</v>
      </c>
      <c r="F33" s="37">
        <f t="shared" ref="F33:F34" si="43">E33*10</f>
        <v>1500000</v>
      </c>
      <c r="G33" s="1"/>
      <c r="H33" s="57">
        <v>17.0</v>
      </c>
      <c r="I33" s="58" t="s">
        <v>443</v>
      </c>
      <c r="J33" s="57" t="s">
        <v>289</v>
      </c>
      <c r="K33" s="59" t="s">
        <v>444</v>
      </c>
      <c r="L33" s="60">
        <v>56250.0</v>
      </c>
      <c r="M33" s="60">
        <f t="shared" ref="M33:M34" si="44">L33*10</f>
        <v>562500</v>
      </c>
      <c r="N33" s="1"/>
      <c r="O33" s="42">
        <f t="shared" ref="O33:P33" si="42">E33-L33</f>
        <v>93750</v>
      </c>
      <c r="P33" s="42">
        <f t="shared" si="42"/>
        <v>937500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34">
        <v>18.0</v>
      </c>
      <c r="B34" s="35" t="s">
        <v>445</v>
      </c>
      <c r="C34" s="34" t="s">
        <v>289</v>
      </c>
      <c r="D34" s="36" t="s">
        <v>438</v>
      </c>
      <c r="E34" s="37">
        <v>20000.0</v>
      </c>
      <c r="F34" s="37">
        <f t="shared" si="43"/>
        <v>200000</v>
      </c>
      <c r="G34" s="1"/>
      <c r="H34" s="38">
        <v>18.0</v>
      </c>
      <c r="I34" s="39" t="s">
        <v>445</v>
      </c>
      <c r="J34" s="38" t="s">
        <v>289</v>
      </c>
      <c r="K34" s="40" t="s">
        <v>438</v>
      </c>
      <c r="L34" s="41">
        <v>20000.0</v>
      </c>
      <c r="M34" s="41">
        <f t="shared" si="44"/>
        <v>200000</v>
      </c>
      <c r="N34" s="1"/>
      <c r="O34" s="42">
        <f t="shared" ref="O34:P34" si="45">E34-L34</f>
        <v>0</v>
      </c>
      <c r="P34" s="42">
        <f t="shared" si="45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52"/>
      <c r="B35" s="52" t="s">
        <v>446</v>
      </c>
      <c r="C35" s="52"/>
      <c r="D35" s="52"/>
      <c r="E35" s="53">
        <f t="shared" ref="E35:F35" si="46">SUM(E33:E34)</f>
        <v>170000</v>
      </c>
      <c r="F35" s="53">
        <f t="shared" si="46"/>
        <v>1700000</v>
      </c>
      <c r="G35" s="1"/>
      <c r="H35" s="54"/>
      <c r="I35" s="54" t="s">
        <v>446</v>
      </c>
      <c r="J35" s="54"/>
      <c r="K35" s="54"/>
      <c r="L35" s="55">
        <f t="shared" ref="L35:M35" si="47">SUM(L33:L34)</f>
        <v>76250</v>
      </c>
      <c r="M35" s="55">
        <f t="shared" si="47"/>
        <v>762500</v>
      </c>
      <c r="N35" s="1"/>
      <c r="O35" s="56">
        <f t="shared" ref="O35:P35" si="48">E35-L35</f>
        <v>93750</v>
      </c>
      <c r="P35" s="56">
        <f t="shared" si="48"/>
        <v>937500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29" t="s">
        <v>447</v>
      </c>
      <c r="B36" s="12"/>
      <c r="C36" s="12"/>
      <c r="D36" s="12"/>
      <c r="E36" s="12"/>
      <c r="F36" s="13"/>
      <c r="G36" s="1"/>
      <c r="H36" s="30" t="s">
        <v>447</v>
      </c>
      <c r="I36" s="12"/>
      <c r="J36" s="12"/>
      <c r="K36" s="12"/>
      <c r="L36" s="12"/>
      <c r="M36" s="13"/>
      <c r="N36" s="1"/>
      <c r="O36" s="32" t="s">
        <v>87</v>
      </c>
      <c r="P36" s="13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34">
        <v>19.0</v>
      </c>
      <c r="B37" s="35" t="s">
        <v>448</v>
      </c>
      <c r="C37" s="34" t="s">
        <v>289</v>
      </c>
      <c r="D37" s="36" t="s">
        <v>449</v>
      </c>
      <c r="E37" s="37">
        <v>140000.0</v>
      </c>
      <c r="F37" s="37">
        <f t="shared" ref="F37:F38" si="50">E37*10</f>
        <v>1400000</v>
      </c>
      <c r="G37" s="1"/>
      <c r="H37" s="57">
        <v>19.0</v>
      </c>
      <c r="I37" s="58" t="s">
        <v>450</v>
      </c>
      <c r="J37" s="57" t="s">
        <v>289</v>
      </c>
      <c r="K37" s="59" t="s">
        <v>451</v>
      </c>
      <c r="L37" s="60">
        <v>46250.0</v>
      </c>
      <c r="M37" s="60">
        <f t="shared" ref="M37:M38" si="51">L37*10</f>
        <v>462500</v>
      </c>
      <c r="N37" s="1"/>
      <c r="O37" s="42">
        <f t="shared" ref="O37:P37" si="49">E37-L37</f>
        <v>93750</v>
      </c>
      <c r="P37" s="42">
        <f t="shared" si="49"/>
        <v>937500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34">
        <v>20.0</v>
      </c>
      <c r="B38" s="35" t="s">
        <v>452</v>
      </c>
      <c r="C38" s="34" t="s">
        <v>289</v>
      </c>
      <c r="D38" s="36" t="s">
        <v>438</v>
      </c>
      <c r="E38" s="37">
        <v>20000.0</v>
      </c>
      <c r="F38" s="37">
        <f t="shared" si="50"/>
        <v>200000</v>
      </c>
      <c r="G38" s="1"/>
      <c r="H38" s="38">
        <v>20.0</v>
      </c>
      <c r="I38" s="39" t="s">
        <v>452</v>
      </c>
      <c r="J38" s="38" t="s">
        <v>289</v>
      </c>
      <c r="K38" s="40" t="s">
        <v>438</v>
      </c>
      <c r="L38" s="41">
        <v>20000.0</v>
      </c>
      <c r="M38" s="41">
        <f t="shared" si="51"/>
        <v>200000</v>
      </c>
      <c r="N38" s="1"/>
      <c r="O38" s="42">
        <f t="shared" ref="O38:P38" si="52">E38-L38</f>
        <v>0</v>
      </c>
      <c r="P38" s="42">
        <f t="shared" si="52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52"/>
      <c r="B39" s="52" t="s">
        <v>453</v>
      </c>
      <c r="C39" s="52"/>
      <c r="D39" s="52"/>
      <c r="E39" s="53">
        <f t="shared" ref="E39:F39" si="53">SUM(E37:E38)</f>
        <v>160000</v>
      </c>
      <c r="F39" s="53">
        <f t="shared" si="53"/>
        <v>1600000</v>
      </c>
      <c r="G39" s="1"/>
      <c r="H39" s="54"/>
      <c r="I39" s="54" t="s">
        <v>453</v>
      </c>
      <c r="J39" s="54"/>
      <c r="K39" s="54"/>
      <c r="L39" s="55">
        <f t="shared" ref="L39:M39" si="54">SUM(L37:L38)</f>
        <v>66250</v>
      </c>
      <c r="M39" s="55">
        <f t="shared" si="54"/>
        <v>662500</v>
      </c>
      <c r="N39" s="1"/>
      <c r="O39" s="56">
        <f t="shared" ref="O39:P39" si="55">E39-L39</f>
        <v>93750</v>
      </c>
      <c r="P39" s="56">
        <f t="shared" si="55"/>
        <v>937500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29" t="s">
        <v>454</v>
      </c>
      <c r="B40" s="12"/>
      <c r="C40" s="12"/>
      <c r="D40" s="12"/>
      <c r="E40" s="12"/>
      <c r="F40" s="13"/>
      <c r="G40" s="1"/>
      <c r="H40" s="30" t="s">
        <v>454</v>
      </c>
      <c r="I40" s="12"/>
      <c r="J40" s="12"/>
      <c r="K40" s="12"/>
      <c r="L40" s="12"/>
      <c r="M40" s="13"/>
      <c r="N40" s="1"/>
      <c r="O40" s="32" t="s">
        <v>87</v>
      </c>
      <c r="P40" s="13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34">
        <v>21.0</v>
      </c>
      <c r="B41" s="35" t="s">
        <v>455</v>
      </c>
      <c r="C41" s="34" t="s">
        <v>456</v>
      </c>
      <c r="D41" s="36" t="s">
        <v>442</v>
      </c>
      <c r="E41" s="37">
        <v>150000.0</v>
      </c>
      <c r="F41" s="37">
        <f t="shared" ref="F41:F43" si="57">E41*10</f>
        <v>1500000</v>
      </c>
      <c r="G41" s="1"/>
      <c r="H41" s="38">
        <v>21.0</v>
      </c>
      <c r="I41" s="39" t="s">
        <v>455</v>
      </c>
      <c r="J41" s="38" t="s">
        <v>456</v>
      </c>
      <c r="K41" s="40" t="s">
        <v>442</v>
      </c>
      <c r="L41" s="41">
        <v>150000.0</v>
      </c>
      <c r="M41" s="41">
        <f t="shared" ref="M41:M43" si="58">L41*10</f>
        <v>1500000</v>
      </c>
      <c r="N41" s="1"/>
      <c r="O41" s="42">
        <f t="shared" ref="O41:P41" si="56">E41-L41</f>
        <v>0</v>
      </c>
      <c r="P41" s="42">
        <f t="shared" si="56"/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34">
        <v>22.0</v>
      </c>
      <c r="B42" s="35" t="s">
        <v>457</v>
      </c>
      <c r="C42" s="34" t="s">
        <v>99</v>
      </c>
      <c r="D42" s="36" t="s">
        <v>458</v>
      </c>
      <c r="E42" s="37">
        <v>370000.0</v>
      </c>
      <c r="F42" s="37">
        <f t="shared" si="57"/>
        <v>3700000</v>
      </c>
      <c r="G42" s="1"/>
      <c r="H42" s="38">
        <v>22.0</v>
      </c>
      <c r="I42" s="39" t="s">
        <v>457</v>
      </c>
      <c r="J42" s="38" t="s">
        <v>99</v>
      </c>
      <c r="K42" s="40" t="s">
        <v>458</v>
      </c>
      <c r="L42" s="41">
        <v>370000.0</v>
      </c>
      <c r="M42" s="41">
        <f t="shared" si="58"/>
        <v>3700000</v>
      </c>
      <c r="N42" s="1"/>
      <c r="O42" s="42">
        <f t="shared" ref="O42:P42" si="59">E42-L42</f>
        <v>0</v>
      </c>
      <c r="P42" s="42">
        <f t="shared" si="59"/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34">
        <v>23.0</v>
      </c>
      <c r="B43" s="35" t="s">
        <v>459</v>
      </c>
      <c r="C43" s="34" t="s">
        <v>456</v>
      </c>
      <c r="D43" s="36" t="s">
        <v>460</v>
      </c>
      <c r="E43" s="37">
        <v>100000.0</v>
      </c>
      <c r="F43" s="37">
        <f t="shared" si="57"/>
        <v>1000000</v>
      </c>
      <c r="G43" s="1"/>
      <c r="H43" s="38">
        <v>23.0</v>
      </c>
      <c r="I43" s="39" t="s">
        <v>459</v>
      </c>
      <c r="J43" s="38" t="s">
        <v>456</v>
      </c>
      <c r="K43" s="40" t="s">
        <v>460</v>
      </c>
      <c r="L43" s="41">
        <v>100000.0</v>
      </c>
      <c r="M43" s="41">
        <f t="shared" si="58"/>
        <v>1000000</v>
      </c>
      <c r="N43" s="1"/>
      <c r="O43" s="42">
        <f t="shared" ref="O43:P43" si="60">E43-L43</f>
        <v>0</v>
      </c>
      <c r="P43" s="42">
        <f t="shared" si="60"/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52"/>
      <c r="B44" s="52" t="s">
        <v>461</v>
      </c>
      <c r="C44" s="52"/>
      <c r="D44" s="52"/>
      <c r="E44" s="53">
        <f t="shared" ref="E44:F44" si="61">SUM(E41:E43)</f>
        <v>620000</v>
      </c>
      <c r="F44" s="53">
        <f t="shared" si="61"/>
        <v>6200000</v>
      </c>
      <c r="G44" s="1"/>
      <c r="H44" s="54"/>
      <c r="I44" s="54" t="s">
        <v>461</v>
      </c>
      <c r="J44" s="54"/>
      <c r="K44" s="54"/>
      <c r="L44" s="55">
        <f t="shared" ref="L44:M44" si="62">SUM(L41:L43)</f>
        <v>620000</v>
      </c>
      <c r="M44" s="55">
        <f t="shared" si="62"/>
        <v>6200000</v>
      </c>
      <c r="N44" s="1"/>
      <c r="O44" s="56">
        <f t="shared" ref="O44:P44" si="63">E44-L44</f>
        <v>0</v>
      </c>
      <c r="P44" s="56">
        <f t="shared" si="63"/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73"/>
      <c r="B45" s="73" t="s">
        <v>462</v>
      </c>
      <c r="C45" s="73"/>
      <c r="D45" s="73"/>
      <c r="E45" s="74">
        <f t="shared" ref="E45:F45" si="64">SUM(E12,E17,E22,E27,E31,E35,E39,E44)</f>
        <v>2761000</v>
      </c>
      <c r="F45" s="74">
        <f t="shared" si="64"/>
        <v>27610000</v>
      </c>
      <c r="G45" s="1"/>
      <c r="H45" s="75"/>
      <c r="I45" s="75" t="s">
        <v>463</v>
      </c>
      <c r="J45" s="75"/>
      <c r="K45" s="75"/>
      <c r="L45" s="76">
        <f t="shared" ref="L45:M45" si="65">SUM(L12,L17,L22,L27,L31,L35,L39,L44)</f>
        <v>2201800</v>
      </c>
      <c r="M45" s="76">
        <f t="shared" si="65"/>
        <v>22018000</v>
      </c>
      <c r="N45" s="1"/>
      <c r="O45" s="77">
        <f t="shared" ref="O45:P45" si="66">E45-L45</f>
        <v>559200</v>
      </c>
      <c r="P45" s="77">
        <f t="shared" si="66"/>
        <v>5592000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78" t="s">
        <v>464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79" t="s">
        <v>465</v>
      </c>
      <c r="B49" s="80"/>
      <c r="C49" s="80"/>
      <c r="D49" s="80"/>
      <c r="E49" s="81"/>
      <c r="F49" s="20">
        <f>P45</f>
        <v>5592000</v>
      </c>
      <c r="G49" s="82"/>
      <c r="H49" s="83" t="s">
        <v>466</v>
      </c>
      <c r="I49" s="80"/>
      <c r="J49" s="80"/>
      <c r="K49" s="80"/>
      <c r="L49" s="80"/>
      <c r="M49" s="80"/>
      <c r="N49" s="80"/>
      <c r="O49" s="80"/>
      <c r="P49" s="8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79" t="s">
        <v>467</v>
      </c>
      <c r="B50" s="80"/>
      <c r="C50" s="80"/>
      <c r="D50" s="80"/>
      <c r="E50" s="81"/>
      <c r="F50" s="20">
        <v>1.66E7</v>
      </c>
      <c r="G50" s="82"/>
      <c r="H50" s="83" t="s">
        <v>468</v>
      </c>
      <c r="I50" s="80"/>
      <c r="J50" s="80"/>
      <c r="K50" s="80"/>
      <c r="L50" s="80"/>
      <c r="M50" s="80"/>
      <c r="N50" s="80"/>
      <c r="O50" s="80"/>
      <c r="P50" s="8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79" t="s">
        <v>469</v>
      </c>
      <c r="B51" s="80"/>
      <c r="C51" s="80"/>
      <c r="D51" s="80"/>
      <c r="E51" s="81"/>
      <c r="F51" s="20">
        <v>2400000.0</v>
      </c>
      <c r="G51" s="82"/>
      <c r="H51" s="83" t="s">
        <v>470</v>
      </c>
      <c r="I51" s="80"/>
      <c r="J51" s="80"/>
      <c r="K51" s="80"/>
      <c r="L51" s="80"/>
      <c r="M51" s="80"/>
      <c r="N51" s="80"/>
      <c r="O51" s="80"/>
      <c r="P51" s="8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84" t="s">
        <v>471</v>
      </c>
      <c r="B52" s="80"/>
      <c r="C52" s="80"/>
      <c r="D52" s="80"/>
      <c r="E52" s="81"/>
      <c r="F52" s="85">
        <f>F49+F50+F51</f>
        <v>24592000</v>
      </c>
      <c r="G52" s="86"/>
      <c r="H52" s="87" t="s">
        <v>472</v>
      </c>
      <c r="I52" s="80"/>
      <c r="J52" s="80"/>
      <c r="K52" s="80"/>
      <c r="L52" s="80"/>
      <c r="M52" s="80"/>
      <c r="N52" s="80"/>
      <c r="O52" s="80"/>
      <c r="P52" s="8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mergeCells count="36">
    <mergeCell ref="H13:M13"/>
    <mergeCell ref="O13:P13"/>
    <mergeCell ref="A4:F4"/>
    <mergeCell ref="H4:M4"/>
    <mergeCell ref="O4:P4"/>
    <mergeCell ref="A6:F6"/>
    <mergeCell ref="H6:M6"/>
    <mergeCell ref="O6:P6"/>
    <mergeCell ref="A13:F13"/>
    <mergeCell ref="H28:M28"/>
    <mergeCell ref="O28:P28"/>
    <mergeCell ref="A18:F18"/>
    <mergeCell ref="H18:M18"/>
    <mergeCell ref="O18:P18"/>
    <mergeCell ref="A23:F23"/>
    <mergeCell ref="H23:M23"/>
    <mergeCell ref="O23:P23"/>
    <mergeCell ref="A28:F28"/>
    <mergeCell ref="H40:M40"/>
    <mergeCell ref="O40:P40"/>
    <mergeCell ref="A32:F32"/>
    <mergeCell ref="H32:M32"/>
    <mergeCell ref="O32:P32"/>
    <mergeCell ref="A36:F36"/>
    <mergeCell ref="H36:M36"/>
    <mergeCell ref="O36:P36"/>
    <mergeCell ref="A40:F40"/>
    <mergeCell ref="H51:P51"/>
    <mergeCell ref="H52:P52"/>
    <mergeCell ref="A48:P48"/>
    <mergeCell ref="A49:E49"/>
    <mergeCell ref="H49:P49"/>
    <mergeCell ref="A50:E50"/>
    <mergeCell ref="H50:P50"/>
    <mergeCell ref="A51:E51"/>
    <mergeCell ref="A52:E5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4" width="34.0"/>
    <col customWidth="1" min="5" max="5" width="40.0"/>
    <col customWidth="1" min="6" max="6" width="20.0"/>
    <col customWidth="1" min="7" max="7" width="22.0"/>
    <col customWidth="1" min="8" max="8" width="24.0"/>
  </cols>
  <sheetData>
    <row r="1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7</v>
      </c>
      <c r="B4" s="7" t="s">
        <v>9</v>
      </c>
      <c r="C4" s="7" t="s">
        <v>10</v>
      </c>
      <c r="D4" s="7" t="s">
        <v>12</v>
      </c>
      <c r="E4" s="7" t="s">
        <v>14</v>
      </c>
      <c r="F4" s="7" t="s">
        <v>16</v>
      </c>
      <c r="G4" s="7" t="s">
        <v>17</v>
      </c>
      <c r="H4" s="7" t="s">
        <v>19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 t="s">
        <v>28</v>
      </c>
      <c r="B5" s="15" t="s">
        <v>32</v>
      </c>
      <c r="C5" s="17" t="s">
        <v>34</v>
      </c>
      <c r="D5" s="17" t="s">
        <v>37</v>
      </c>
      <c r="E5" s="17" t="s">
        <v>39</v>
      </c>
      <c r="F5" s="19">
        <v>23450.0</v>
      </c>
      <c r="G5" s="20">
        <v>16840.0</v>
      </c>
      <c r="H5" s="20">
        <f t="shared" ref="H5:H10" si="1">G5*10</f>
        <v>168400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59</v>
      </c>
      <c r="B6" s="15" t="s">
        <v>32</v>
      </c>
      <c r="C6" s="17" t="s">
        <v>61</v>
      </c>
      <c r="D6" s="17" t="s">
        <v>64</v>
      </c>
      <c r="E6" s="17" t="s">
        <v>67</v>
      </c>
      <c r="F6" s="19">
        <v>23450.0</v>
      </c>
      <c r="G6" s="20">
        <v>16840.0</v>
      </c>
      <c r="H6" s="20">
        <f t="shared" si="1"/>
        <v>168400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 t="s">
        <v>81</v>
      </c>
      <c r="B7" s="15" t="s">
        <v>32</v>
      </c>
      <c r="C7" s="17" t="s">
        <v>83</v>
      </c>
      <c r="D7" s="17" t="s">
        <v>85</v>
      </c>
      <c r="E7" s="17" t="s">
        <v>88</v>
      </c>
      <c r="F7" s="19">
        <v>23450.0</v>
      </c>
      <c r="G7" s="20">
        <v>16840.0</v>
      </c>
      <c r="H7" s="20">
        <f t="shared" si="1"/>
        <v>168400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 t="s">
        <v>103</v>
      </c>
      <c r="B8" s="15" t="s">
        <v>105</v>
      </c>
      <c r="C8" s="17" t="s">
        <v>107</v>
      </c>
      <c r="D8" s="17" t="s">
        <v>109</v>
      </c>
      <c r="E8" s="17" t="s">
        <v>111</v>
      </c>
      <c r="F8" s="19">
        <v>26250.0</v>
      </c>
      <c r="G8" s="20">
        <v>18850.0</v>
      </c>
      <c r="H8" s="20">
        <f t="shared" si="1"/>
        <v>188500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 t="s">
        <v>123</v>
      </c>
      <c r="B9" s="15" t="s">
        <v>105</v>
      </c>
      <c r="C9" s="17" t="s">
        <v>124</v>
      </c>
      <c r="D9" s="17" t="s">
        <v>126</v>
      </c>
      <c r="E9" s="17" t="s">
        <v>128</v>
      </c>
      <c r="F9" s="19">
        <v>26250.0</v>
      </c>
      <c r="G9" s="20">
        <v>18850.0</v>
      </c>
      <c r="H9" s="20">
        <f t="shared" si="1"/>
        <v>188500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 t="s">
        <v>136</v>
      </c>
      <c r="B10" s="15" t="s">
        <v>105</v>
      </c>
      <c r="C10" s="17" t="s">
        <v>142</v>
      </c>
      <c r="D10" s="17" t="s">
        <v>145</v>
      </c>
      <c r="E10" s="17" t="s">
        <v>146</v>
      </c>
      <c r="F10" s="19">
        <v>26250.0</v>
      </c>
      <c r="G10" s="20">
        <v>18850.0</v>
      </c>
      <c r="H10" s="20">
        <f t="shared" si="1"/>
        <v>188500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46"/>
      <c r="B11" s="46"/>
      <c r="C11" s="47" t="s">
        <v>159</v>
      </c>
      <c r="D11" s="46"/>
      <c r="E11" s="46"/>
      <c r="F11" s="49">
        <f t="shared" ref="F11:H11" si="2">SUM(F5:F10)</f>
        <v>149100</v>
      </c>
      <c r="G11" s="49">
        <f t="shared" si="2"/>
        <v>107070</v>
      </c>
      <c r="H11" s="49">
        <f t="shared" si="2"/>
        <v>1070700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2026-08-03T09:03:55Z</dcterms:created>
  <dc:creator>openpyxl</dc:creator>
</cp:coreProperties>
</file>