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My Drive\Soleil&amp;co By UyenNhi\10-19 Dự Án Đang Chạy\18. AgrizenLua\00-Docs\"/>
    </mc:Choice>
  </mc:AlternateContent>
  <xr:revisionPtr revIDLastSave="0" documentId="13_ncr:1_{0054362A-2034-4719-AEFD-44FE0DB532E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Bảng Giá &amp; Công Thứ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14" i="1"/>
  <c r="B23" i="1" s="1"/>
  <c r="J11" i="1"/>
  <c r="B11" i="1"/>
  <c r="D11" i="1" s="1"/>
  <c r="J10" i="1"/>
  <c r="B10" i="1"/>
  <c r="J9" i="1"/>
  <c r="B9" i="1"/>
  <c r="J8" i="1"/>
  <c r="B8" i="1"/>
  <c r="J7" i="1"/>
  <c r="B7" i="1"/>
  <c r="D7" i="1" s="1"/>
  <c r="J6" i="1"/>
  <c r="B6" i="1"/>
  <c r="J5" i="1"/>
  <c r="B5" i="1"/>
  <c r="J4" i="1"/>
  <c r="B4" i="1"/>
  <c r="M7" i="1" l="1"/>
  <c r="N7" i="1" s="1"/>
  <c r="M11" i="1"/>
  <c r="N11" i="1" s="1"/>
  <c r="M5" i="1"/>
  <c r="N5" i="1" s="1"/>
  <c r="E8" i="1"/>
  <c r="F8" i="1" s="1"/>
  <c r="M9" i="1"/>
  <c r="N9" i="1" s="1"/>
  <c r="E10" i="1"/>
  <c r="F10" i="1" s="1"/>
  <c r="E4" i="1"/>
  <c r="F4" i="1" s="1"/>
  <c r="E23" i="1"/>
  <c r="F23" i="1" s="1"/>
  <c r="D10" i="1"/>
  <c r="B20" i="1"/>
  <c r="D4" i="1"/>
  <c r="D6" i="1"/>
  <c r="E6" i="1" s="1"/>
  <c r="F6" i="1" s="1"/>
  <c r="D8" i="1"/>
  <c r="B16" i="1"/>
  <c r="B21" i="1"/>
  <c r="L4" i="1"/>
  <c r="M4" i="1" s="1"/>
  <c r="N4" i="1" s="1"/>
  <c r="L6" i="1"/>
  <c r="M6" i="1" s="1"/>
  <c r="N6" i="1" s="1"/>
  <c r="L8" i="1"/>
  <c r="M8" i="1" s="1"/>
  <c r="N8" i="1" s="1"/>
  <c r="L10" i="1"/>
  <c r="M10" i="1" s="1"/>
  <c r="N10" i="1" s="1"/>
  <c r="B17" i="1"/>
  <c r="D9" i="1"/>
  <c r="E9" i="1" s="1"/>
  <c r="F9" i="1" s="1"/>
  <c r="B22" i="1"/>
  <c r="D5" i="1"/>
  <c r="E5" i="1" s="1"/>
  <c r="F5" i="1" s="1"/>
  <c r="B18" i="1"/>
  <c r="E7" i="1"/>
  <c r="F7" i="1" s="1"/>
  <c r="E11" i="1"/>
  <c r="F11" i="1" s="1"/>
  <c r="L5" i="1"/>
  <c r="L7" i="1"/>
  <c r="L9" i="1"/>
  <c r="L11" i="1"/>
  <c r="B19" i="1"/>
  <c r="D19" i="1" l="1"/>
  <c r="E19" i="1" s="1"/>
  <c r="F19" i="1" s="1"/>
  <c r="D18" i="1"/>
  <c r="E18" i="1" s="1"/>
  <c r="F18" i="1" s="1"/>
  <c r="D22" i="1"/>
  <c r="E22" i="1" s="1"/>
  <c r="F22" i="1" s="1"/>
  <c r="D21" i="1"/>
  <c r="E21" i="1" s="1"/>
  <c r="F21" i="1" s="1"/>
  <c r="D16" i="1"/>
  <c r="E16" i="1" s="1"/>
  <c r="F16" i="1" s="1"/>
  <c r="D20" i="1"/>
  <c r="E20" i="1" s="1"/>
  <c r="F20" i="1" s="1"/>
  <c r="D17" i="1"/>
  <c r="E17" i="1" s="1"/>
  <c r="F17" i="1" s="1"/>
</calcChain>
</file>

<file path=xl/sharedStrings.xml><?xml version="1.0" encoding="utf-8"?>
<sst xmlns="http://schemas.openxmlformats.org/spreadsheetml/2006/main" count="55" uniqueCount="37">
  <si>
    <t>Rước Đòng Organic</t>
  </si>
  <si>
    <t>Giá 500ml</t>
  </si>
  <si>
    <t>Vô Gạo Organic</t>
  </si>
  <si>
    <t>Số Chai</t>
  </si>
  <si>
    <t>Giá gốc</t>
  </si>
  <si>
    <t>Mức CK</t>
  </si>
  <si>
    <t>Tiết kiệm</t>
  </si>
  <si>
    <t>Giá Bán</t>
  </si>
  <si>
    <t>Đơn giá/Chai</t>
  </si>
  <si>
    <t>Quà tặng</t>
  </si>
  <si>
    <t>tặng 1</t>
  </si>
  <si>
    <t>tặng 2</t>
  </si>
  <si>
    <t>tặng 3</t>
  </si>
  <si>
    <t>tặng 7</t>
  </si>
  <si>
    <t>tặng 15</t>
  </si>
  <si>
    <t>Combo Rước Đòng + Vô Gạo</t>
  </si>
  <si>
    <t>Combo 1 Cặp</t>
  </si>
  <si>
    <t>Điểm Mạnh - Rước Đòng Organic</t>
  </si>
  <si>
    <t>Điểm Mạnh - Vô Gạo Organic</t>
  </si>
  <si>
    <t>Số Combo</t>
  </si>
  <si>
    <t>Đơn giá/Combo</t>
  </si>
  <si>
    <t>• Hàng nhập Mỹ</t>
  </si>
  <si>
    <t>• Hàm lượng lân vs kali cao lên tới 32% và 24%</t>
  </si>
  <si>
    <t>combi</t>
  </si>
  <si>
    <t>• Hàng organic 100%</t>
  </si>
  <si>
    <t>• NPK khoáng giúp cây hấp thụ nhanh hơn</t>
  </si>
  <si>
    <t>loang trải</t>
  </si>
  <si>
    <t>• 55% hữu cơ – Cải tạo đất, nuôi cây khỏe.</t>
  </si>
  <si>
    <t>• Vào gạo nhanh – Chắc hạt vượt trội.</t>
  </si>
  <si>
    <t>1 combo (combi + loang trải)</t>
  </si>
  <si>
    <t>• 28% Fulvic – Kích rễ, tăng hấp thu dinh dưỡng.</t>
  </si>
  <si>
    <t>• Giảm lép lửng – Tăng tỷ lệ hạt chắc.</t>
  </si>
  <si>
    <t>2 combo</t>
  </si>
  <si>
    <t>• Thúc phân hóa đòng – Trổ đòng đều.</t>
  </si>
  <si>
    <t>• Tăng tích lũy tinh bột – Hạt nặng ký.</t>
  </si>
  <si>
    <t>• Lá đòng xanh bền – Nuôi bông khỏe.</t>
  </si>
  <si>
    <t>• Lá đòng xanh bền – Nuôi hạt đến cuối vụ.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</si>
</sst>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đ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C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164" fontId="2" fillId="6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164" fontId="3" fillId="4" borderId="1" xfId="0" applyNumberFormat="1" applyFont="1" applyFill="1" applyBorder="1"/>
    <xf numFmtId="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164" fontId="3" fillId="7" borderId="1" xfId="0" applyNumberFormat="1" applyFont="1" applyFill="1" applyBorder="1"/>
    <xf numFmtId="9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4" fontId="0" fillId="0" borderId="1" xfId="0" applyNumberFormat="1" applyBorder="1"/>
    <xf numFmtId="164" fontId="0" fillId="4" borderId="1" xfId="0" applyNumberFormat="1" applyFill="1" applyBorder="1"/>
    <xf numFmtId="0" fontId="4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23"/>
  <sheetViews>
    <sheetView tabSelected="1" workbookViewId="0">
      <selection activeCell="D28" sqref="D28"/>
    </sheetView>
  </sheetViews>
  <sheetFormatPr defaultRowHeight="14.4" x14ac:dyDescent="0.3"/>
  <cols>
    <col min="1" max="1" width="10" customWidth="1"/>
    <col min="2" max="2" width="16" customWidth="1"/>
    <col min="3" max="3" width="13.21875" customWidth="1"/>
    <col min="4" max="6" width="16" customWidth="1"/>
    <col min="7" max="7" width="24" customWidth="1"/>
    <col min="8" max="8" width="4" customWidth="1"/>
    <col min="9" max="9" width="10" customWidth="1"/>
    <col min="10" max="10" width="16" customWidth="1"/>
    <col min="11" max="11" width="10" customWidth="1"/>
    <col min="12" max="14" width="16" customWidth="1"/>
    <col min="15" max="15" width="24" customWidth="1"/>
  </cols>
  <sheetData>
    <row r="2" spans="1:15" x14ac:dyDescent="0.3">
      <c r="A2" s="23" t="s">
        <v>0</v>
      </c>
      <c r="B2" s="22"/>
      <c r="C2" s="1" t="s">
        <v>1</v>
      </c>
      <c r="D2" s="2">
        <v>670000</v>
      </c>
      <c r="I2" s="25" t="s">
        <v>2</v>
      </c>
      <c r="J2" s="22"/>
      <c r="K2" s="3" t="s">
        <v>1</v>
      </c>
      <c r="L2" s="4">
        <v>750000</v>
      </c>
    </row>
    <row r="3" spans="1:15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6" t="s">
        <v>9</v>
      </c>
    </row>
    <row r="4" spans="1:15" x14ac:dyDescent="0.3">
      <c r="A4" s="7">
        <v>1</v>
      </c>
      <c r="B4" s="8">
        <f t="shared" ref="B4:B11" si="0">A4*$D$2</f>
        <v>670000</v>
      </c>
      <c r="C4" s="9">
        <v>0.3</v>
      </c>
      <c r="D4" s="8">
        <f t="shared" ref="D4:D11" si="1">B4*C4</f>
        <v>201000</v>
      </c>
      <c r="E4" s="8">
        <f t="shared" ref="E4:E11" si="2">B4-D4</f>
        <v>469000</v>
      </c>
      <c r="F4" s="8">
        <f t="shared" ref="F4:F11" si="3">E4/A4</f>
        <v>469000</v>
      </c>
      <c r="G4" s="10"/>
      <c r="I4" s="7">
        <v>1</v>
      </c>
      <c r="J4" s="8">
        <f t="shared" ref="J4:J11" si="4">I4*$L$2</f>
        <v>750000</v>
      </c>
      <c r="K4" s="9">
        <v>0.3</v>
      </c>
      <c r="L4" s="8">
        <f t="shared" ref="L4:L11" si="5">J4*K4</f>
        <v>225000</v>
      </c>
      <c r="M4" s="8">
        <f t="shared" ref="M4:M11" si="6">J4-L4</f>
        <v>525000</v>
      </c>
      <c r="N4" s="8">
        <f t="shared" ref="N4:N11" si="7">M4/I4</f>
        <v>525000</v>
      </c>
      <c r="O4" s="10"/>
    </row>
    <row r="5" spans="1:15" x14ac:dyDescent="0.3">
      <c r="A5" s="11">
        <v>2</v>
      </c>
      <c r="B5" s="12">
        <f t="shared" si="0"/>
        <v>1340000</v>
      </c>
      <c r="C5" s="13">
        <v>0.31</v>
      </c>
      <c r="D5" s="12">
        <f t="shared" si="1"/>
        <v>415400</v>
      </c>
      <c r="E5" s="12">
        <f t="shared" si="2"/>
        <v>924600</v>
      </c>
      <c r="F5" s="12">
        <f t="shared" si="3"/>
        <v>462300</v>
      </c>
      <c r="G5" s="14"/>
      <c r="I5" s="15">
        <v>2</v>
      </c>
      <c r="J5" s="16">
        <f t="shared" si="4"/>
        <v>1500000</v>
      </c>
      <c r="K5" s="17">
        <v>0.31</v>
      </c>
      <c r="L5" s="16">
        <f t="shared" si="5"/>
        <v>465000</v>
      </c>
      <c r="M5" s="16">
        <f t="shared" si="6"/>
        <v>1035000</v>
      </c>
      <c r="N5" s="16">
        <f t="shared" si="7"/>
        <v>517500</v>
      </c>
      <c r="O5" s="18"/>
    </row>
    <row r="6" spans="1:15" x14ac:dyDescent="0.3">
      <c r="A6" s="7">
        <v>3</v>
      </c>
      <c r="B6" s="8">
        <f t="shared" si="0"/>
        <v>2010000</v>
      </c>
      <c r="C6" s="9">
        <v>0.33</v>
      </c>
      <c r="D6" s="8">
        <f t="shared" si="1"/>
        <v>663300</v>
      </c>
      <c r="E6" s="8">
        <f t="shared" si="2"/>
        <v>1346700</v>
      </c>
      <c r="F6" s="8">
        <f t="shared" si="3"/>
        <v>448900</v>
      </c>
      <c r="G6" s="10" t="s">
        <v>10</v>
      </c>
      <c r="I6" s="7">
        <v>3</v>
      </c>
      <c r="J6" s="8">
        <f t="shared" si="4"/>
        <v>2250000</v>
      </c>
      <c r="K6" s="9">
        <v>0.33</v>
      </c>
      <c r="L6" s="8">
        <f t="shared" si="5"/>
        <v>742500</v>
      </c>
      <c r="M6" s="8">
        <f t="shared" si="6"/>
        <v>1507500</v>
      </c>
      <c r="N6" s="8">
        <f t="shared" si="7"/>
        <v>502500</v>
      </c>
      <c r="O6" s="10" t="s">
        <v>10</v>
      </c>
    </row>
    <row r="7" spans="1:15" x14ac:dyDescent="0.3">
      <c r="A7" s="11">
        <v>6</v>
      </c>
      <c r="B7" s="12">
        <f t="shared" si="0"/>
        <v>4020000</v>
      </c>
      <c r="C7" s="13">
        <v>0.35</v>
      </c>
      <c r="D7" s="12">
        <f t="shared" si="1"/>
        <v>1407000</v>
      </c>
      <c r="E7" s="12">
        <f t="shared" si="2"/>
        <v>2613000</v>
      </c>
      <c r="F7" s="12">
        <f t="shared" si="3"/>
        <v>435500</v>
      </c>
      <c r="G7" s="14" t="s">
        <v>11</v>
      </c>
      <c r="I7" s="15">
        <v>6</v>
      </c>
      <c r="J7" s="16">
        <f t="shared" si="4"/>
        <v>4500000</v>
      </c>
      <c r="K7" s="17">
        <v>0.35</v>
      </c>
      <c r="L7" s="16">
        <f t="shared" si="5"/>
        <v>1575000</v>
      </c>
      <c r="M7" s="16">
        <f t="shared" si="6"/>
        <v>2925000</v>
      </c>
      <c r="N7" s="16">
        <f t="shared" si="7"/>
        <v>487500</v>
      </c>
      <c r="O7" s="18" t="s">
        <v>11</v>
      </c>
    </row>
    <row r="8" spans="1:15" x14ac:dyDescent="0.3">
      <c r="A8" s="7">
        <v>9</v>
      </c>
      <c r="B8" s="8">
        <f t="shared" si="0"/>
        <v>6030000</v>
      </c>
      <c r="C8" s="9">
        <v>0.37</v>
      </c>
      <c r="D8" s="8">
        <f t="shared" si="1"/>
        <v>2231100</v>
      </c>
      <c r="E8" s="8">
        <f t="shared" si="2"/>
        <v>3798900</v>
      </c>
      <c r="F8" s="8">
        <f t="shared" si="3"/>
        <v>422100</v>
      </c>
      <c r="G8" s="10" t="s">
        <v>12</v>
      </c>
      <c r="I8" s="7">
        <v>9</v>
      </c>
      <c r="J8" s="8">
        <f t="shared" si="4"/>
        <v>6750000</v>
      </c>
      <c r="K8" s="9">
        <v>0.37</v>
      </c>
      <c r="L8" s="8">
        <f t="shared" si="5"/>
        <v>2497500</v>
      </c>
      <c r="M8" s="8">
        <f t="shared" si="6"/>
        <v>4252500</v>
      </c>
      <c r="N8" s="8">
        <f t="shared" si="7"/>
        <v>472500</v>
      </c>
      <c r="O8" s="10" t="s">
        <v>12</v>
      </c>
    </row>
    <row r="9" spans="1:15" x14ac:dyDescent="0.3">
      <c r="A9" s="11">
        <v>21</v>
      </c>
      <c r="B9" s="12">
        <f t="shared" si="0"/>
        <v>14070000</v>
      </c>
      <c r="C9" s="13">
        <v>0.39</v>
      </c>
      <c r="D9" s="12">
        <f t="shared" si="1"/>
        <v>5487300</v>
      </c>
      <c r="E9" s="12">
        <f t="shared" si="2"/>
        <v>8582700</v>
      </c>
      <c r="F9" s="12">
        <f t="shared" si="3"/>
        <v>408700</v>
      </c>
      <c r="G9" s="14" t="s">
        <v>13</v>
      </c>
      <c r="I9" s="15">
        <v>21</v>
      </c>
      <c r="J9" s="16">
        <f t="shared" si="4"/>
        <v>15750000</v>
      </c>
      <c r="K9" s="17">
        <v>0.39</v>
      </c>
      <c r="L9" s="16">
        <f t="shared" si="5"/>
        <v>6142500</v>
      </c>
      <c r="M9" s="16">
        <f t="shared" si="6"/>
        <v>9607500</v>
      </c>
      <c r="N9" s="16">
        <f t="shared" si="7"/>
        <v>457500</v>
      </c>
      <c r="O9" s="18" t="s">
        <v>13</v>
      </c>
    </row>
    <row r="10" spans="1:15" x14ac:dyDescent="0.3">
      <c r="A10" s="7">
        <v>45</v>
      </c>
      <c r="B10" s="8">
        <f t="shared" si="0"/>
        <v>30150000</v>
      </c>
      <c r="C10" s="9">
        <v>0.41</v>
      </c>
      <c r="D10" s="8">
        <f t="shared" si="1"/>
        <v>12361500</v>
      </c>
      <c r="E10" s="8">
        <f t="shared" si="2"/>
        <v>17788500</v>
      </c>
      <c r="F10" s="8">
        <f t="shared" si="3"/>
        <v>395300</v>
      </c>
      <c r="G10" s="10" t="s">
        <v>14</v>
      </c>
      <c r="I10" s="7">
        <v>45</v>
      </c>
      <c r="J10" s="8">
        <f t="shared" si="4"/>
        <v>33750000</v>
      </c>
      <c r="K10" s="9">
        <v>0.41</v>
      </c>
      <c r="L10" s="8">
        <f t="shared" si="5"/>
        <v>13837500</v>
      </c>
      <c r="M10" s="8">
        <f t="shared" si="6"/>
        <v>19912500</v>
      </c>
      <c r="N10" s="8">
        <f t="shared" si="7"/>
        <v>442500</v>
      </c>
      <c r="O10" s="10" t="s">
        <v>14</v>
      </c>
    </row>
    <row r="11" spans="1:15" x14ac:dyDescent="0.3">
      <c r="A11" s="11">
        <v>90</v>
      </c>
      <c r="B11" s="12">
        <f t="shared" si="0"/>
        <v>60300000</v>
      </c>
      <c r="C11" s="13">
        <v>0.43</v>
      </c>
      <c r="D11" s="12">
        <f t="shared" si="1"/>
        <v>25929000</v>
      </c>
      <c r="E11" s="12">
        <f t="shared" si="2"/>
        <v>34371000</v>
      </c>
      <c r="F11" s="12">
        <f t="shared" si="3"/>
        <v>381900</v>
      </c>
      <c r="G11" s="14"/>
      <c r="I11" s="15">
        <v>90</v>
      </c>
      <c r="J11" s="16">
        <f t="shared" si="4"/>
        <v>67500000</v>
      </c>
      <c r="K11" s="17">
        <v>0.43</v>
      </c>
      <c r="L11" s="16">
        <f t="shared" si="5"/>
        <v>29025000</v>
      </c>
      <c r="M11" s="16">
        <f t="shared" si="6"/>
        <v>38475000</v>
      </c>
      <c r="N11" s="16">
        <f t="shared" si="7"/>
        <v>427500</v>
      </c>
      <c r="O11" s="18"/>
    </row>
    <row r="14" spans="1:15" x14ac:dyDescent="0.3">
      <c r="A14" s="23" t="s">
        <v>15</v>
      </c>
      <c r="B14" s="22"/>
      <c r="C14" s="1" t="s">
        <v>16</v>
      </c>
      <c r="D14" s="2">
        <f>$D$2+$L$2</f>
        <v>1420000</v>
      </c>
      <c r="I14" s="21" t="s">
        <v>17</v>
      </c>
      <c r="J14" s="22"/>
      <c r="K14" s="22"/>
      <c r="L14" s="22"/>
      <c r="M14" s="21" t="s">
        <v>18</v>
      </c>
      <c r="N14" s="22"/>
      <c r="O14" s="22"/>
    </row>
    <row r="15" spans="1:15" x14ac:dyDescent="0.3">
      <c r="A15" s="5" t="s">
        <v>19</v>
      </c>
      <c r="B15" s="5" t="s">
        <v>4</v>
      </c>
      <c r="C15" s="5" t="s">
        <v>5</v>
      </c>
      <c r="D15" s="5" t="s">
        <v>6</v>
      </c>
      <c r="E15" s="5" t="s">
        <v>7</v>
      </c>
      <c r="F15" s="5" t="s">
        <v>20</v>
      </c>
      <c r="G15" s="5" t="s">
        <v>9</v>
      </c>
      <c r="I15" s="24" t="s">
        <v>21</v>
      </c>
      <c r="J15" s="22"/>
      <c r="K15" s="22"/>
      <c r="L15" s="22"/>
      <c r="M15" s="24" t="s">
        <v>22</v>
      </c>
      <c r="N15" s="22"/>
      <c r="O15" s="22"/>
    </row>
    <row r="16" spans="1:15" x14ac:dyDescent="0.3">
      <c r="A16" s="7">
        <v>1</v>
      </c>
      <c r="B16" s="19">
        <f t="shared" ref="B16:B23" si="8">A16*$D$14</f>
        <v>1420000</v>
      </c>
      <c r="C16" s="9">
        <v>0.3</v>
      </c>
      <c r="D16" s="19">
        <f t="shared" ref="D16:D23" si="9">B16*C16</f>
        <v>426000</v>
      </c>
      <c r="E16" s="19">
        <f t="shared" ref="E16:E23" si="10">B16-D16</f>
        <v>994000</v>
      </c>
      <c r="F16" s="19">
        <f t="shared" ref="F16:F23" si="11">E16/A16</f>
        <v>994000</v>
      </c>
      <c r="G16" s="10" t="s">
        <v>23</v>
      </c>
      <c r="I16" s="24" t="s">
        <v>24</v>
      </c>
      <c r="J16" s="22"/>
      <c r="K16" s="22"/>
      <c r="L16" s="22"/>
      <c r="M16" s="24" t="s">
        <v>25</v>
      </c>
      <c r="N16" s="22"/>
      <c r="O16" s="22"/>
    </row>
    <row r="17" spans="1:15" x14ac:dyDescent="0.3">
      <c r="A17" s="11">
        <v>2</v>
      </c>
      <c r="B17" s="20">
        <f t="shared" si="8"/>
        <v>2840000</v>
      </c>
      <c r="C17" s="13">
        <v>0.31</v>
      </c>
      <c r="D17" s="20">
        <f t="shared" si="9"/>
        <v>880400</v>
      </c>
      <c r="E17" s="20">
        <f t="shared" si="10"/>
        <v>1959600</v>
      </c>
      <c r="F17" s="20">
        <f t="shared" si="11"/>
        <v>979800</v>
      </c>
      <c r="G17" s="14" t="s">
        <v>26</v>
      </c>
      <c r="I17" s="24" t="s">
        <v>27</v>
      </c>
      <c r="J17" s="22"/>
      <c r="K17" s="22"/>
      <c r="L17" s="22"/>
      <c r="M17" s="24" t="s">
        <v>28</v>
      </c>
      <c r="N17" s="22"/>
      <c r="O17" s="22"/>
    </row>
    <row r="18" spans="1:15" x14ac:dyDescent="0.3">
      <c r="A18" s="7">
        <v>3</v>
      </c>
      <c r="B18" s="19">
        <f t="shared" si="8"/>
        <v>4260000</v>
      </c>
      <c r="C18" s="9">
        <v>0.33</v>
      </c>
      <c r="D18" s="19">
        <f t="shared" si="9"/>
        <v>1405800</v>
      </c>
      <c r="E18" s="19">
        <f t="shared" si="10"/>
        <v>2854200</v>
      </c>
      <c r="F18" s="19">
        <f t="shared" si="11"/>
        <v>951400</v>
      </c>
      <c r="G18" s="10" t="s">
        <v>29</v>
      </c>
      <c r="I18" s="24" t="s">
        <v>30</v>
      </c>
      <c r="J18" s="22"/>
      <c r="K18" s="22"/>
      <c r="L18" s="22"/>
      <c r="M18" s="24" t="s">
        <v>31</v>
      </c>
      <c r="N18" s="22"/>
      <c r="O18" s="22"/>
    </row>
    <row r="19" spans="1:15" x14ac:dyDescent="0.3">
      <c r="A19" s="11">
        <v>6</v>
      </c>
      <c r="B19" s="20">
        <f t="shared" si="8"/>
        <v>8520000</v>
      </c>
      <c r="C19" s="13">
        <v>0.35</v>
      </c>
      <c r="D19" s="20">
        <f t="shared" si="9"/>
        <v>2982000</v>
      </c>
      <c r="E19" s="20">
        <f t="shared" si="10"/>
        <v>5538000</v>
      </c>
      <c r="F19" s="20">
        <f t="shared" si="11"/>
        <v>923000</v>
      </c>
      <c r="G19" s="14" t="s">
        <v>32</v>
      </c>
      <c r="I19" s="24" t="s">
        <v>33</v>
      </c>
      <c r="J19" s="22"/>
      <c r="K19" s="22"/>
      <c r="L19" s="22"/>
      <c r="M19" s="24" t="s">
        <v>34</v>
      </c>
      <c r="N19" s="22"/>
      <c r="O19" s="22"/>
    </row>
    <row r="20" spans="1:15" x14ac:dyDescent="0.3">
      <c r="A20" s="7">
        <v>9</v>
      </c>
      <c r="B20" s="19">
        <f t="shared" si="8"/>
        <v>12780000</v>
      </c>
      <c r="C20" s="9">
        <v>0.37</v>
      </c>
      <c r="D20" s="19">
        <f t="shared" si="9"/>
        <v>4728600</v>
      </c>
      <c r="E20" s="19">
        <f t="shared" si="10"/>
        <v>8051400</v>
      </c>
      <c r="F20" s="19">
        <f t="shared" si="11"/>
        <v>894600</v>
      </c>
      <c r="G20" s="10"/>
      <c r="I20" s="24" t="s">
        <v>35</v>
      </c>
      <c r="J20" s="22"/>
      <c r="K20" s="22"/>
      <c r="L20" s="22"/>
      <c r="M20" s="24" t="s">
        <v>36</v>
      </c>
      <c r="N20" s="22"/>
      <c r="O20" s="22"/>
    </row>
    <row r="21" spans="1:15" x14ac:dyDescent="0.3">
      <c r="A21" s="11">
        <v>21</v>
      </c>
      <c r="B21" s="20">
        <f t="shared" si="8"/>
        <v>29820000</v>
      </c>
      <c r="C21" s="13">
        <v>0.39</v>
      </c>
      <c r="D21" s="20">
        <f t="shared" si="9"/>
        <v>11629800</v>
      </c>
      <c r="E21" s="20">
        <f t="shared" si="10"/>
        <v>18190200</v>
      </c>
      <c r="F21" s="20">
        <f t="shared" si="11"/>
        <v>866200</v>
      </c>
      <c r="G21" s="14"/>
    </row>
    <row r="22" spans="1:15" x14ac:dyDescent="0.3">
      <c r="A22" s="7">
        <v>45</v>
      </c>
      <c r="B22" s="19">
        <f t="shared" si="8"/>
        <v>63900000</v>
      </c>
      <c r="C22" s="9">
        <v>0.41</v>
      </c>
      <c r="D22" s="19">
        <f t="shared" si="9"/>
        <v>26199000</v>
      </c>
      <c r="E22" s="19">
        <f t="shared" si="10"/>
        <v>37701000</v>
      </c>
      <c r="F22" s="19">
        <f t="shared" si="11"/>
        <v>837800</v>
      </c>
      <c r="G22" s="10"/>
    </row>
    <row r="23" spans="1:15" x14ac:dyDescent="0.3">
      <c r="A23" s="11">
        <v>90</v>
      </c>
      <c r="B23" s="20">
        <f t="shared" si="8"/>
        <v>127800000</v>
      </c>
      <c r="C23" s="13">
        <v>0.43</v>
      </c>
      <c r="D23" s="20">
        <f>B23*C23</f>
        <v>54954000</v>
      </c>
      <c r="E23" s="20">
        <f t="shared" si="10"/>
        <v>72846000</v>
      </c>
      <c r="F23" s="20">
        <f t="shared" si="11"/>
        <v>809400</v>
      </c>
      <c r="G23" s="14"/>
    </row>
  </sheetData>
  <mergeCells count="17">
    <mergeCell ref="M19:O19"/>
    <mergeCell ref="M20:O20"/>
    <mergeCell ref="I2:J2"/>
    <mergeCell ref="M18:O18"/>
    <mergeCell ref="I20:L20"/>
    <mergeCell ref="M17:O17"/>
    <mergeCell ref="I16:L16"/>
    <mergeCell ref="I15:L15"/>
    <mergeCell ref="M16:O16"/>
    <mergeCell ref="I19:L19"/>
    <mergeCell ref="M15:O15"/>
    <mergeCell ref="M14:O14"/>
    <mergeCell ref="I14:L14"/>
    <mergeCell ref="A2:B2"/>
    <mergeCell ref="I17:L17"/>
    <mergeCell ref="I18:L18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 &amp; Công Thức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ICTSAIGON.VN</cp:lastModifiedBy>
  <dcterms:created xsi:type="dcterms:W3CDTF">2026-07-28T04:01:25Z</dcterms:created>
  <dcterms:modified xsi:type="dcterms:W3CDTF">2026-07-28T04:42:28Z</dcterms:modified>
</cp:coreProperties>
</file>